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esh PC\Technical skills\4 FLOW\Round 2\"/>
    </mc:Choice>
  </mc:AlternateContent>
  <xr:revisionPtr revIDLastSave="0" documentId="13_ncr:1_{9A68091C-7478-4B6F-8339-5DF9CDBCC8C6}" xr6:coauthVersionLast="47" xr6:coauthVersionMax="47" xr10:uidLastSave="{00000000-0000-0000-0000-000000000000}"/>
  <bookViews>
    <workbookView xWindow="-28920" yWindow="-120" windowWidth="29040" windowHeight="15720" xr2:uid="{BF7CF6F8-855D-4F86-B9C6-900616FB0045}"/>
  </bookViews>
  <sheets>
    <sheet name="Area for warehouse" sheetId="1" r:id="rId1"/>
    <sheet name="Warehouse relocation " sheetId="5" r:id="rId2"/>
    <sheet name="Warehouse Lighting" sheetId="3" r:id="rId3"/>
    <sheet name="Freight" sheetId="6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7" i="1" l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16" i="1"/>
</calcChain>
</file>

<file path=xl/sharedStrings.xml><?xml version="1.0" encoding="utf-8"?>
<sst xmlns="http://schemas.openxmlformats.org/spreadsheetml/2006/main" count="297" uniqueCount="163">
  <si>
    <t>Article</t>
  </si>
  <si>
    <t>Artikel Name</t>
  </si>
  <si>
    <t>Net Weight [kg/#]</t>
  </si>
  <si>
    <t>Pieces per Primary Packaging units</t>
  </si>
  <si>
    <t>Primary Packaging Dimensions (l*w*h) [cm]</t>
  </si>
  <si>
    <t>Primary Packaging per Secondary Packaging [#/#]</t>
  </si>
  <si>
    <t>Secondary Packaging Dimensions (l*w*h) [cm]</t>
  </si>
  <si>
    <t>Secondary Packaging Gross Weight [kg]</t>
  </si>
  <si>
    <t>Supplier</t>
  </si>
  <si>
    <t>Sales Price [€/#]</t>
  </si>
  <si>
    <t>Purchase Price [€/#]</t>
  </si>
  <si>
    <t>SQM</t>
  </si>
  <si>
    <t>UltraSlim Voltage Regulator</t>
  </si>
  <si>
    <t>AA0000063</t>
  </si>
  <si>
    <t>Quantum Processor Module</t>
  </si>
  <si>
    <t>40*60*50</t>
  </si>
  <si>
    <t>120*80*165</t>
  </si>
  <si>
    <t>AA0000062</t>
  </si>
  <si>
    <t>Precision Signal Amplifier</t>
  </si>
  <si>
    <t>AA0000061</t>
  </si>
  <si>
    <t>Energy-efficient Microcontroller</t>
  </si>
  <si>
    <t>NanoCore Data Interface</t>
  </si>
  <si>
    <t>Compact Sensor Fusion Unit</t>
  </si>
  <si>
    <t>Advanced Quantum Logic Chip</t>
  </si>
  <si>
    <t>AA1000053</t>
  </si>
  <si>
    <t>NanoGrid Energy Optimizer</t>
  </si>
  <si>
    <t>AA1000052</t>
  </si>
  <si>
    <t>VisionSense Imaging Module</t>
  </si>
  <si>
    <t>AA1000051</t>
  </si>
  <si>
    <t>High-Speed Data Processing Unit</t>
  </si>
  <si>
    <t>SmartGrid Connectivity Module</t>
  </si>
  <si>
    <t>RoboSense Sensory Processor</t>
  </si>
  <si>
    <t>Quantum Neural Network Accelerator</t>
  </si>
  <si>
    <t>GridFlow Power Management Unit</t>
  </si>
  <si>
    <t>Dynamic Vision Enhancement Kit</t>
  </si>
  <si>
    <t>UltraSmall Logic Chip</t>
  </si>
  <si>
    <t>AA1000043</t>
  </si>
  <si>
    <t>NanoPower Voltage Converter</t>
  </si>
  <si>
    <t>AA1000041</t>
  </si>
  <si>
    <t>-</t>
  </si>
  <si>
    <t>MiniCharge Battery Module</t>
  </si>
  <si>
    <t>High-Speed Data Buffer</t>
  </si>
  <si>
    <t>Quantum Processing Unit</t>
  </si>
  <si>
    <t>AA1000042</t>
  </si>
  <si>
    <t>PowerBoost Energy Module</t>
  </si>
  <si>
    <t>SmartLogic Control Unit</t>
  </si>
  <si>
    <t>QuantumFlow Energy Converter</t>
  </si>
  <si>
    <t>PowerFlex Voltage Stabilizer</t>
  </si>
  <si>
    <t>TitanTech Sensor Module</t>
  </si>
  <si>
    <t>AA1000033</t>
  </si>
  <si>
    <t>SenseFlow Data Integration Unit</t>
  </si>
  <si>
    <t>AA1000032</t>
  </si>
  <si>
    <t>HighTec Visionary Interface</t>
  </si>
  <si>
    <t>AA1000031</t>
  </si>
  <si>
    <t>TitanGrid Power Optimizer</t>
  </si>
  <si>
    <t>SenseGrid Energy Management Unit</t>
  </si>
  <si>
    <t>HighTec PowerFlow Controller</t>
  </si>
  <si>
    <t>TitanSense Environmental Sensor</t>
  </si>
  <si>
    <t>SenseFlex Flexibility Module</t>
  </si>
  <si>
    <t>HighTec FlowMaster Sensor</t>
  </si>
  <si>
    <t>ZenithFlow Motion Tracking System</t>
  </si>
  <si>
    <t>AA1000023</t>
  </si>
  <si>
    <t>SakuraVision Imaging Processor</t>
  </si>
  <si>
    <t>AA1000022</t>
  </si>
  <si>
    <t>PrecisionSense Sensor Array</t>
  </si>
  <si>
    <t>AA1000021</t>
  </si>
  <si>
    <t>QuantumCore Data Processor</t>
  </si>
  <si>
    <t>SakuraCore Processing Unit</t>
  </si>
  <si>
    <t>PrecisionPower Energy Converter</t>
  </si>
  <si>
    <t>SakuraFlow Energy Management System</t>
  </si>
  <si>
    <t>PrecisionCharge Battery Module</t>
  </si>
  <si>
    <t>GreenEco Energy Saver</t>
  </si>
  <si>
    <t>AA1000013</t>
  </si>
  <si>
    <t>MedTech Data Integration Unit</t>
  </si>
  <si>
    <t>AA1000012</t>
  </si>
  <si>
    <t>AeroCharge Voltage Converter</t>
  </si>
  <si>
    <t>AA1000011</t>
  </si>
  <si>
    <t>GreenEco PowerFlow Controller</t>
  </si>
  <si>
    <t>MedTech PowerGrid Optimizer</t>
  </si>
  <si>
    <t>AeroSense Environmental Sensor</t>
  </si>
  <si>
    <t>GreenEco FlexFlow Module</t>
  </si>
  <si>
    <t>MedTech FlexSense Unit</t>
  </si>
  <si>
    <t>AeroFlex Energy Saver</t>
  </si>
  <si>
    <t>Count of Secondary Pack =M/G</t>
  </si>
  <si>
    <t>Avg Inventory Primary Pack units</t>
  </si>
  <si>
    <t>Area for 1 Secondary Pack =(L*W)</t>
  </si>
  <si>
    <t>Total area req CM^2 =N*O</t>
  </si>
  <si>
    <t xml:space="preserve">14665/3 = 4900 Equivalent + 100 M for additional tolerance. </t>
  </si>
  <si>
    <t>Office space</t>
  </si>
  <si>
    <t>Storage area</t>
  </si>
  <si>
    <t>Warehouse space</t>
  </si>
  <si>
    <t>Admin and misc</t>
  </si>
  <si>
    <t>Other Space</t>
  </si>
  <si>
    <t>Maintenance area</t>
  </si>
  <si>
    <t>Waste management area</t>
  </si>
  <si>
    <t xml:space="preserve">Receiving area </t>
  </si>
  <si>
    <t>Picking area</t>
  </si>
  <si>
    <t xml:space="preserve">Packing area </t>
  </si>
  <si>
    <t>Dock doors</t>
  </si>
  <si>
    <t xml:space="preserve">Parking </t>
  </si>
  <si>
    <t>Total warehouse area</t>
  </si>
  <si>
    <t>Considering height of Warehouse is 10M. Utilisation for racks 6M</t>
  </si>
  <si>
    <t>We can place 3 horizontal racks considering tolerance.</t>
  </si>
  <si>
    <t>Total storage area required as per below calc = 14665 SqCM</t>
  </si>
  <si>
    <t>The final storage area req is 5000 M</t>
  </si>
  <si>
    <t>Warehouse area 10000 SqM</t>
  </si>
  <si>
    <t>Lumens = Footcandles (FC) * Warehouse Area (sq. m)</t>
  </si>
  <si>
    <t>High-activity tasks (detailed work): 200-300 FC or more (consider higher for quality control areas)</t>
  </si>
  <si>
    <t>Lumens = 300 FC * 10,000 Sq. m Lumens = 3,000,000 lumens</t>
  </si>
  <si>
    <t>Number of Fixtures = Total Lumens / Lumen Output per Fixture</t>
  </si>
  <si>
    <t>Number of Fixtures = 3,000,000 lumens / 20,000 lumens/fixture = 150 Fixtures</t>
  </si>
  <si>
    <t>High Bay LED fixtures Philips 170 W 20000 Lm € 350.</t>
  </si>
  <si>
    <t xml:space="preserve">Total Fixture Cost = 150 fixtures * €200/fixture </t>
  </si>
  <si>
    <t>Total Fixture Cost = €52,500</t>
  </si>
  <si>
    <t>Total System Cost = Fixture Cost + Installation Cost</t>
  </si>
  <si>
    <t xml:space="preserve"> Installation Cost = €960 (6 labour* 20/hr) + €100 (materials) = €1060</t>
  </si>
  <si>
    <r>
      <t xml:space="preserve">According to industry , consumption of warehouses </t>
    </r>
    <r>
      <rPr>
        <b/>
        <sz val="11"/>
        <color theme="1"/>
        <rFont val="Calibri"/>
        <family val="2"/>
        <scheme val="minor"/>
      </rPr>
      <t>32 kWh per square Meter per year.</t>
    </r>
  </si>
  <si>
    <t>Total Annual Consumption= 32 kWh/sqm/year * 10,000 sqm≈ 320,000 kWh/year</t>
  </si>
  <si>
    <t xml:space="preserve">Total Annual Consumption= Consumption per sqm * Warehouse Area </t>
  </si>
  <si>
    <t>65% in the lighting system from total consumption</t>
  </si>
  <si>
    <t>Consumption of Electricity in Lighting is ≈ 208000</t>
  </si>
  <si>
    <t>Annual Electricity Cost Estimation= Total Consumption * Electricity Cost per kWh</t>
  </si>
  <si>
    <t>Annual Cost ≈ 208000 kWh/year * €0.11/kWh</t>
  </si>
  <si>
    <t>Annual Cost ≈ € 22880</t>
  </si>
  <si>
    <t>With a 50% reduction</t>
  </si>
  <si>
    <t xml:space="preserve">Cost saving potential Per year is 11440. </t>
  </si>
  <si>
    <r>
      <t>Total Cost =   €52,500</t>
    </r>
    <r>
      <rPr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 Round Figured)</t>
    </r>
  </si>
  <si>
    <t>Average dispatches per day: 1300 Qty</t>
  </si>
  <si>
    <t>Average pieces in Primary Packaging: 150- 200</t>
  </si>
  <si>
    <t xml:space="preserve">Around 10 packages daily: </t>
  </si>
  <si>
    <t>Assuming 1 Warehouse employee per one-pack dispatch</t>
  </si>
  <si>
    <t>10 Warehouse employee</t>
  </si>
  <si>
    <t>1 Supervisor</t>
  </si>
  <si>
    <t>2 Employees for admin and office work</t>
  </si>
  <si>
    <t>2 Extra employees for other work</t>
  </si>
  <si>
    <t>Total 15 staff x 6 days (8 hrs shift)</t>
  </si>
  <si>
    <r>
      <t>Resource Requirements:</t>
    </r>
    <r>
      <rPr>
        <sz val="10"/>
        <color rgb="FF000000"/>
        <rFont val="Times New Roman"/>
        <family val="1"/>
      </rPr>
      <t> Land, Civil Construction Contractor, Electricians, Commodities</t>
    </r>
    <r>
      <rPr>
        <sz val="10"/>
        <rFont val="Times New Roman"/>
        <family val="1"/>
      </rPr>
      <t>​</t>
    </r>
  </si>
  <si>
    <r>
      <t>Site Area :- 10000 Sqm</t>
    </r>
    <r>
      <rPr>
        <sz val="10"/>
        <rFont val="Times New Roman"/>
        <family val="1"/>
      </rPr>
      <t>​</t>
    </r>
  </si>
  <si>
    <r>
      <t>Investment: </t>
    </r>
    <r>
      <rPr>
        <sz val="10"/>
        <color rgb="FF000000"/>
        <rFont val="Times New Roman"/>
        <family val="1"/>
      </rPr>
      <t>€1,00,85,500  (Listing major costs)</t>
    </r>
    <r>
      <rPr>
        <sz val="10"/>
        <rFont val="Times New Roman"/>
        <family val="1"/>
      </rPr>
      <t>​</t>
    </r>
  </si>
  <si>
    <r>
      <t>Land Rent cost</t>
    </r>
    <r>
      <rPr>
        <sz val="10"/>
        <color rgb="FF000000"/>
        <rFont val="Times New Roman"/>
        <family val="1"/>
      </rPr>
      <t>: €10500 ( Assuming 3% Rental Yield){Land Cost €350,000  (Assuming a 10,000 sq. m warehouse)}</t>
    </r>
    <r>
      <rPr>
        <sz val="10"/>
        <rFont val="Times New Roman"/>
        <family val="1"/>
      </rPr>
      <t>​</t>
    </r>
  </si>
  <si>
    <r>
      <t>Construction Costs</t>
    </r>
    <r>
      <rPr>
        <sz val="10"/>
        <color rgb="FF000000"/>
        <rFont val="Times New Roman"/>
        <family val="1"/>
      </rPr>
      <t>:  €10,000,000   (Building costs in Germany average around €1,000  per sqm)</t>
    </r>
    <r>
      <rPr>
        <sz val="10"/>
        <rFont val="Times New Roman"/>
        <family val="1"/>
      </rPr>
      <t>​</t>
    </r>
  </si>
  <si>
    <r>
      <t>Warehouse Management cost</t>
    </r>
    <r>
      <rPr>
        <sz val="10"/>
        <color rgb="FF000000"/>
        <rFont val="Times New Roman"/>
        <family val="1"/>
      </rPr>
      <t>: €15000 </t>
    </r>
    <r>
      <rPr>
        <sz val="10"/>
        <rFont val="Times New Roman"/>
        <family val="1"/>
      </rPr>
      <t>​</t>
    </r>
  </si>
  <si>
    <r>
      <t>Material Handling Equipment</t>
    </r>
    <r>
      <rPr>
        <sz val="10"/>
        <color rgb="FF000000"/>
        <rFont val="Times New Roman"/>
        <family val="1"/>
      </rPr>
      <t>:   €50000</t>
    </r>
    <r>
      <rPr>
        <sz val="10"/>
        <rFont val="Times New Roman"/>
        <family val="1"/>
      </rPr>
      <t>​</t>
    </r>
  </si>
  <si>
    <r>
      <t>Additional Consideration</t>
    </r>
    <r>
      <rPr>
        <sz val="10"/>
        <color rgb="FF000000"/>
        <rFont val="Times New Roman"/>
        <family val="1"/>
      </rPr>
      <t>: €10000 </t>
    </r>
    <r>
      <rPr>
        <sz val="10"/>
        <rFont val="Times New Roman"/>
        <family val="1"/>
      </rPr>
      <t>​</t>
    </r>
  </si>
  <si>
    <t>Personnel availability</t>
  </si>
  <si>
    <t>Cost analysis</t>
  </si>
  <si>
    <t>Month</t>
  </si>
  <si>
    <t>Air Freight cost [€]</t>
  </si>
  <si>
    <t xml:space="preserve">Air Pallets [#] </t>
  </si>
  <si>
    <t>Sea Freight cost [€]</t>
  </si>
  <si>
    <t>Sea Pallets [#]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</si>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</sst>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;[Red]\-#,##0.00\ [$€-1]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DEBF7"/>
        <bgColor rgb="FFDDEBF7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9BC2E6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3" fontId="1" fillId="0" borderId="2" xfId="0" applyNumberFormat="1" applyFont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3" borderId="2" xfId="0" applyFont="1" applyFill="1" applyBorder="1"/>
    <xf numFmtId="9" fontId="0" fillId="0" borderId="2" xfId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5" borderId="9" xfId="0" applyFont="1" applyFill="1" applyBorder="1"/>
    <xf numFmtId="0" fontId="13" fillId="0" borderId="9" xfId="0" applyFont="1" applyBorder="1" applyAlignment="1">
      <alignment horizontal="left"/>
    </xf>
    <xf numFmtId="0" fontId="13" fillId="0" borderId="9" xfId="0" applyFont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Air vs Sea Freight Costs</a:t>
            </a:r>
          </a:p>
        </c:rich>
      </c:tx>
      <c:layout>
        <c:manualLayout>
          <c:xMode val="edge"/>
          <c:yMode val="edge"/>
          <c:x val="3.0265095190097433E-2"/>
          <c:y val="2.4853146256949898E-2"/>
        </c:manualLayout>
      </c:layout>
      <c:overlay val="0"/>
    </c:title>
    <c:autoTitleDeleted val="0"/>
    <c:plotArea>
      <c:layout/>
      <c:barChart>
        <c:barDir val="col"/>
        <c:grouping val="stacked"/>
        <c:varyColors val="1"/>
        <c:ser>
          <c:idx val="1"/>
          <c:order val="1"/>
          <c:tx>
            <c:strRef>
              <c:f>[1]Sheet1!$D$4</c:f>
              <c:strCache>
                <c:ptCount val="1"/>
                <c:pt idx="0">
                  <c:v>Air Pallets [#] 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percentage"/>
            <c:noEndCap val="0"/>
            <c:val val="10"/>
          </c:errBars>
          <c:cat>
            <c:strRef>
              <c:f>[1]Sheet1!$B$5:$B$16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[1]Sheet1!$D$5:$D$16</c:f>
              <c:numCache>
                <c:formatCode>General</c:formatCode>
                <c:ptCount val="12"/>
                <c:pt idx="0">
                  <c:v>168</c:v>
                </c:pt>
                <c:pt idx="1">
                  <c:v>232</c:v>
                </c:pt>
                <c:pt idx="2">
                  <c:v>164</c:v>
                </c:pt>
                <c:pt idx="3">
                  <c:v>212</c:v>
                </c:pt>
                <c:pt idx="4">
                  <c:v>180</c:v>
                </c:pt>
                <c:pt idx="5">
                  <c:v>136</c:v>
                </c:pt>
                <c:pt idx="6">
                  <c:v>268</c:v>
                </c:pt>
                <c:pt idx="7">
                  <c:v>172</c:v>
                </c:pt>
                <c:pt idx="8">
                  <c:v>132</c:v>
                </c:pt>
                <c:pt idx="9">
                  <c:v>240</c:v>
                </c:pt>
                <c:pt idx="10">
                  <c:v>148</c:v>
                </c:pt>
                <c:pt idx="11">
                  <c:v>244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995-4828-8A42-DED933F37B87}"/>
            </c:ext>
          </c:extLst>
        </c:ser>
        <c:ser>
          <c:idx val="3"/>
          <c:order val="3"/>
          <c:tx>
            <c:strRef>
              <c:f>[1]Sheet1!$F$4</c:f>
              <c:strCache>
                <c:ptCount val="1"/>
                <c:pt idx="0">
                  <c:v>Sea Pallets [#]</c:v>
                </c:pt>
              </c:strCache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F995-4828-8A42-DED933F37B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[1]Sheet1!$B$5:$B$16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[1]Sheet1!$F$5:$F$16</c:f>
              <c:numCache>
                <c:formatCode>General</c:formatCode>
                <c:ptCount val="12"/>
                <c:pt idx="0">
                  <c:v>558</c:v>
                </c:pt>
                <c:pt idx="1">
                  <c:v>600</c:v>
                </c:pt>
                <c:pt idx="2">
                  <c:v>520</c:v>
                </c:pt>
                <c:pt idx="3">
                  <c:v>388</c:v>
                </c:pt>
                <c:pt idx="4">
                  <c:v>612</c:v>
                </c:pt>
                <c:pt idx="5">
                  <c:v>196</c:v>
                </c:pt>
                <c:pt idx="6">
                  <c:v>738</c:v>
                </c:pt>
                <c:pt idx="7">
                  <c:v>440</c:v>
                </c:pt>
                <c:pt idx="8">
                  <c:v>763</c:v>
                </c:pt>
                <c:pt idx="9">
                  <c:v>687</c:v>
                </c:pt>
                <c:pt idx="10">
                  <c:v>413</c:v>
                </c:pt>
                <c:pt idx="11">
                  <c:v>420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995-4828-8A42-DED933F37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7338893"/>
        <c:axId val="1645792686"/>
      </c:barChart>
      <c:lineChart>
        <c:grouping val="standard"/>
        <c:varyColors val="1"/>
        <c:ser>
          <c:idx val="0"/>
          <c:order val="0"/>
          <c:tx>
            <c:strRef>
              <c:f>[1]Sheet1!$C$4</c:f>
              <c:strCache>
                <c:ptCount val="1"/>
                <c:pt idx="0">
                  <c:v>Air Freight cost [€]</c:v>
                </c:pt>
              </c:strCache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[1]Sheet1!$B$5:$B$16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[1]Sheet1!$C$5:$C$16</c:f>
              <c:numCache>
                <c:formatCode>General</c:formatCode>
                <c:ptCount val="12"/>
                <c:pt idx="0">
                  <c:v>249783.228</c:v>
                </c:pt>
                <c:pt idx="1">
                  <c:v>326202</c:v>
                </c:pt>
                <c:pt idx="2">
                  <c:v>249326.12400000001</c:v>
                </c:pt>
                <c:pt idx="3">
                  <c:v>389431.40399999998</c:v>
                </c:pt>
                <c:pt idx="4">
                  <c:v>286231.16399999999</c:v>
                </c:pt>
                <c:pt idx="5">
                  <c:v>188858.43599999999</c:v>
                </c:pt>
                <c:pt idx="6">
                  <c:v>388988.92800000001</c:v>
                </c:pt>
                <c:pt idx="7">
                  <c:v>250098.432</c:v>
                </c:pt>
                <c:pt idx="8">
                  <c:v>209582.76</c:v>
                </c:pt>
                <c:pt idx="9">
                  <c:v>321423.04800000001</c:v>
                </c:pt>
                <c:pt idx="10">
                  <c:v>228121.2</c:v>
                </c:pt>
                <c:pt idx="11">
                  <c:v>327881.29200000002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95-4828-8A42-DED933F37B87}"/>
            </c:ext>
          </c:extLst>
        </c:ser>
        <c:ser>
          <c:idx val="2"/>
          <c:order val="2"/>
          <c:tx>
            <c:strRef>
              <c:f>[1]Sheet1!$E$4</c:f>
              <c:strCache>
                <c:ptCount val="1"/>
                <c:pt idx="0">
                  <c:v>Sea Freight cost [€]</c:v>
                </c:pt>
              </c:strCache>
            </c:strRef>
          </c:tx>
          <c:spPr>
            <a:ln w="9525" cmpd="sng">
              <a:solidFill>
                <a:schemeClr val="dk1"/>
              </a:solidFill>
              <a:prstDash val="solid"/>
            </a:ln>
          </c:spPr>
          <c:marker>
            <c:symbol val="circle"/>
            <c:size val="7"/>
            <c:spPr>
              <a:solidFill>
                <a:schemeClr val="dk1"/>
              </a:solidFill>
              <a:ln cmpd="sng">
                <a:solidFill>
                  <a:schemeClr val="dk1"/>
                </a:solidFill>
              </a:ln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F995-4828-8A42-DED933F37B87}"/>
              </c:ext>
            </c:extLst>
          </c:dPt>
          <c:cat>
            <c:strRef>
              <c:f>[1]Sheet1!$B$5:$B$16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[1]Sheet1!$E$5:$E$16</c:f>
              <c:numCache>
                <c:formatCode>General</c:formatCode>
                <c:ptCount val="12"/>
                <c:pt idx="0">
                  <c:v>89957</c:v>
                </c:pt>
                <c:pt idx="1">
                  <c:v>103908</c:v>
                </c:pt>
                <c:pt idx="2">
                  <c:v>94758</c:v>
                </c:pt>
                <c:pt idx="3">
                  <c:v>59571</c:v>
                </c:pt>
                <c:pt idx="4">
                  <c:v>106914</c:v>
                </c:pt>
                <c:pt idx="5">
                  <c:v>51301</c:v>
                </c:pt>
                <c:pt idx="6">
                  <c:v>110912</c:v>
                </c:pt>
                <c:pt idx="7">
                  <c:v>88048</c:v>
                </c:pt>
                <c:pt idx="8">
                  <c:v>112344</c:v>
                </c:pt>
                <c:pt idx="9">
                  <c:v>117412</c:v>
                </c:pt>
                <c:pt idx="10">
                  <c:v>61206</c:v>
                </c:pt>
                <c:pt idx="11">
                  <c:v>61632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95-4828-8A42-DED933F37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6980984"/>
        <c:axId val="300909248"/>
      </c:lineChart>
      <c:catAx>
        <c:axId val="1546980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00909248"/>
        <c:crosses val="autoZero"/>
        <c:auto val="1"/>
        <c:lblAlgn val="ctr"/>
        <c:lblOffset val="100"/>
        <c:noMultiLvlLbl val="1"/>
      </c:catAx>
      <c:valAx>
        <c:axId val="3009092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Freight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6980984"/>
        <c:crosses val="autoZero"/>
        <c:crossBetween val="between"/>
      </c:valAx>
      <c:catAx>
        <c:axId val="181733889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45792686"/>
        <c:crosses val="autoZero"/>
        <c:auto val="1"/>
        <c:lblAlgn val="ctr"/>
        <c:lblOffset val="100"/>
        <c:noMultiLvlLbl val="1"/>
      </c:catAx>
      <c:valAx>
        <c:axId val="164579268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Number of Pallets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7338893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663575</xdr:colOff>
      <xdr:row>2</xdr:row>
      <xdr:rowOff>82550</xdr:rowOff>
    </xdr:from>
    <xdr:ext cx="7515225" cy="41052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8FF97E0C-5966-4D69-B169-033C792BE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Jesh%20PC\Technical%20skills\4%20FLOW\Round%202\4flow%20challenge.xlsx" TargetMode="External"/><Relationship Id="rId1" Type="http://schemas.openxmlformats.org/officeDocument/2006/relationships/externalLinkPath" Target="4flow%20challen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4">
          <cell r="C4" t="str">
            <v>Air Freight cost [€]</v>
          </cell>
          <cell r="D4" t="str">
            <v xml:space="preserve">Air Pallets [#] </v>
          </cell>
          <cell r="E4" t="str">
            <v>Sea Freight cost [€]</v>
          </cell>
          <cell r="F4" t="str">
            <v>Sea Pallets [#]</v>
          </cell>
        </row>
        <row r="5">
          <cell r="B5" t="str">
            <v>Jan</v>
          </cell>
          <cell r="C5">
            <v>249783.228</v>
          </cell>
          <cell r="D5">
            <v>168</v>
          </cell>
          <cell r="E5">
            <v>89957</v>
          </cell>
          <cell r="F5">
            <v>558</v>
          </cell>
        </row>
        <row r="6">
          <cell r="B6" t="str">
            <v>Feb</v>
          </cell>
          <cell r="C6">
            <v>326202</v>
          </cell>
          <cell r="D6">
            <v>232</v>
          </cell>
          <cell r="E6">
            <v>103908</v>
          </cell>
          <cell r="F6">
            <v>600</v>
          </cell>
        </row>
        <row r="7">
          <cell r="B7" t="str">
            <v>Mar</v>
          </cell>
          <cell r="C7">
            <v>249326.12400000001</v>
          </cell>
          <cell r="D7">
            <v>164</v>
          </cell>
          <cell r="E7">
            <v>94758</v>
          </cell>
          <cell r="F7">
            <v>520</v>
          </cell>
        </row>
        <row r="8">
          <cell r="B8" t="str">
            <v>Apr</v>
          </cell>
          <cell r="C8">
            <v>389431.40399999998</v>
          </cell>
          <cell r="D8">
            <v>212</v>
          </cell>
          <cell r="E8">
            <v>59571</v>
          </cell>
          <cell r="F8">
            <v>388</v>
          </cell>
        </row>
        <row r="9">
          <cell r="B9" t="str">
            <v>May</v>
          </cell>
          <cell r="C9">
            <v>286231.16399999999</v>
          </cell>
          <cell r="D9">
            <v>180</v>
          </cell>
          <cell r="E9">
            <v>106914</v>
          </cell>
          <cell r="F9">
            <v>612</v>
          </cell>
        </row>
        <row r="10">
          <cell r="B10" t="str">
            <v>Jun</v>
          </cell>
          <cell r="C10">
            <v>188858.43599999999</v>
          </cell>
          <cell r="D10">
            <v>136</v>
          </cell>
          <cell r="E10">
            <v>51301</v>
          </cell>
          <cell r="F10">
            <v>196</v>
          </cell>
        </row>
        <row r="11">
          <cell r="B11" t="str">
            <v>Jul</v>
          </cell>
          <cell r="C11">
            <v>388988.92800000001</v>
          </cell>
          <cell r="D11">
            <v>268</v>
          </cell>
          <cell r="E11">
            <v>110912</v>
          </cell>
          <cell r="F11">
            <v>738</v>
          </cell>
        </row>
        <row r="12">
          <cell r="B12" t="str">
            <v>Aug</v>
          </cell>
          <cell r="C12">
            <v>250098.432</v>
          </cell>
          <cell r="D12">
            <v>172</v>
          </cell>
          <cell r="E12">
            <v>88048</v>
          </cell>
          <cell r="F12">
            <v>440</v>
          </cell>
        </row>
        <row r="13">
          <cell r="B13" t="str">
            <v>Sep</v>
          </cell>
          <cell r="C13">
            <v>209582.76</v>
          </cell>
          <cell r="D13">
            <v>132</v>
          </cell>
          <cell r="E13">
            <v>112344</v>
          </cell>
          <cell r="F13">
            <v>763</v>
          </cell>
        </row>
        <row r="14">
          <cell r="B14" t="str">
            <v>Oct</v>
          </cell>
          <cell r="C14">
            <v>321423.04800000001</v>
          </cell>
          <cell r="D14">
            <v>240</v>
          </cell>
          <cell r="E14">
            <v>117412</v>
          </cell>
          <cell r="F14">
            <v>687</v>
          </cell>
        </row>
        <row r="15">
          <cell r="B15" t="str">
            <v>Nov</v>
          </cell>
          <cell r="C15">
            <v>228121.2</v>
          </cell>
          <cell r="D15">
            <v>148</v>
          </cell>
          <cell r="E15">
            <v>61206</v>
          </cell>
          <cell r="F15">
            <v>413</v>
          </cell>
        </row>
        <row r="16">
          <cell r="B16" t="str">
            <v>Dec</v>
          </cell>
          <cell r="C16">
            <v>327881.29200000002</v>
          </cell>
          <cell r="D16">
            <v>244</v>
          </cell>
          <cell r="E16">
            <v>61632</v>
          </cell>
          <cell r="F16">
            <v>420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C447-EA64-413F-97E6-8C90423D7EC6}">
  <dimension ref="B2:P68"/>
  <sheetViews>
    <sheetView tabSelected="1" zoomScale="66" zoomScaleNormal="100" workbookViewId="0">
      <selection activeCell="K8" sqref="K8"/>
    </sheetView>
  </sheetViews>
  <sheetFormatPr defaultRowHeight="14.5" x14ac:dyDescent="0.35"/>
  <cols>
    <col min="1" max="1" width="3.1796875" style="1" customWidth="1"/>
    <col min="2" max="2" width="61.1796875" style="1" bestFit="1" customWidth="1"/>
    <col min="3" max="3" width="16.1796875" style="1" customWidth="1"/>
    <col min="4" max="4" width="6.81640625" style="1" bestFit="1" customWidth="1"/>
    <col min="5" max="5" width="15.7265625" style="1" bestFit="1" customWidth="1"/>
    <col min="6" max="6" width="22" style="1" bestFit="1" customWidth="1"/>
    <col min="7" max="7" width="10.90625" style="1" customWidth="1"/>
    <col min="8" max="8" width="11.6328125" style="1" customWidth="1"/>
    <col min="9" max="9" width="10.1796875" style="1" customWidth="1"/>
    <col min="10" max="10" width="10.36328125" style="1" customWidth="1"/>
    <col min="11" max="11" width="6.90625" style="1" bestFit="1" customWidth="1"/>
    <col min="12" max="12" width="9.08984375" style="1" customWidth="1"/>
    <col min="13" max="13" width="9.453125" style="1" customWidth="1"/>
    <col min="14" max="14" width="9.7265625" style="1" customWidth="1"/>
    <col min="15" max="15" width="11.08984375" style="1" customWidth="1"/>
    <col min="16" max="16" width="10.26953125" style="1" customWidth="1"/>
    <col min="17" max="16384" width="8.7265625" style="1"/>
  </cols>
  <sheetData>
    <row r="2" spans="2:16" x14ac:dyDescent="0.35">
      <c r="B2" s="13" t="s">
        <v>103</v>
      </c>
      <c r="C2"/>
      <c r="D2"/>
      <c r="H2" s="10" t="s">
        <v>11</v>
      </c>
    </row>
    <row r="3" spans="2:16" x14ac:dyDescent="0.35">
      <c r="B3" s="15" t="s">
        <v>101</v>
      </c>
      <c r="C3"/>
      <c r="D3"/>
      <c r="E3" s="26" t="s">
        <v>90</v>
      </c>
      <c r="F3" s="10" t="s">
        <v>89</v>
      </c>
      <c r="G3" s="17">
        <v>0.5</v>
      </c>
      <c r="H3" s="10">
        <v>5000</v>
      </c>
    </row>
    <row r="4" spans="2:16" x14ac:dyDescent="0.35">
      <c r="B4" s="15" t="s">
        <v>102</v>
      </c>
      <c r="C4"/>
      <c r="D4"/>
      <c r="E4" s="27"/>
      <c r="F4" s="10" t="s">
        <v>95</v>
      </c>
      <c r="G4" s="17">
        <v>0.1</v>
      </c>
      <c r="H4" s="10">
        <v>1000</v>
      </c>
    </row>
    <row r="5" spans="2:16" x14ac:dyDescent="0.35">
      <c r="B5" s="15" t="s">
        <v>87</v>
      </c>
      <c r="C5"/>
      <c r="D5"/>
      <c r="E5" s="27"/>
      <c r="F5" s="10" t="s">
        <v>96</v>
      </c>
      <c r="G5" s="17">
        <v>0.05</v>
      </c>
      <c r="H5" s="10">
        <v>500</v>
      </c>
    </row>
    <row r="6" spans="2:16" x14ac:dyDescent="0.35">
      <c r="B6" s="16" t="s">
        <v>104</v>
      </c>
      <c r="C6"/>
      <c r="D6"/>
      <c r="E6" s="28"/>
      <c r="F6" s="10" t="s">
        <v>97</v>
      </c>
      <c r="G6" s="17">
        <v>0.05</v>
      </c>
      <c r="H6" s="10">
        <v>500</v>
      </c>
    </row>
    <row r="7" spans="2:16" x14ac:dyDescent="0.35">
      <c r="C7"/>
      <c r="D7"/>
      <c r="E7" s="14" t="s">
        <v>88</v>
      </c>
      <c r="F7" s="10" t="s">
        <v>91</v>
      </c>
      <c r="G7" s="17">
        <v>0.1</v>
      </c>
      <c r="H7" s="10">
        <v>1000</v>
      </c>
    </row>
    <row r="8" spans="2:16" x14ac:dyDescent="0.35">
      <c r="B8"/>
      <c r="C8"/>
      <c r="D8"/>
      <c r="E8" s="29" t="s">
        <v>92</v>
      </c>
      <c r="F8" s="10" t="s">
        <v>98</v>
      </c>
      <c r="G8" s="17">
        <v>0.02</v>
      </c>
      <c r="H8" s="10">
        <v>200</v>
      </c>
    </row>
    <row r="9" spans="2:16" x14ac:dyDescent="0.35">
      <c r="B9"/>
      <c r="C9"/>
      <c r="D9"/>
      <c r="E9" s="29"/>
      <c r="F9" s="10" t="s">
        <v>93</v>
      </c>
      <c r="G9" s="17">
        <v>0.03</v>
      </c>
      <c r="H9" s="10">
        <v>300</v>
      </c>
    </row>
    <row r="10" spans="2:16" x14ac:dyDescent="0.35">
      <c r="B10"/>
      <c r="C10"/>
      <c r="D10"/>
      <c r="E10" s="29"/>
      <c r="F10" s="10" t="s">
        <v>94</v>
      </c>
      <c r="G10" s="17">
        <v>0.05</v>
      </c>
      <c r="H10" s="10">
        <v>500</v>
      </c>
    </row>
    <row r="11" spans="2:16" x14ac:dyDescent="0.35">
      <c r="B11"/>
      <c r="C11"/>
      <c r="D11"/>
      <c r="E11" s="29"/>
      <c r="F11" s="10" t="s">
        <v>99</v>
      </c>
      <c r="G11" s="17">
        <v>0.1</v>
      </c>
      <c r="H11" s="10">
        <v>1000</v>
      </c>
    </row>
    <row r="12" spans="2:16" x14ac:dyDescent="0.35">
      <c r="B12"/>
      <c r="C12"/>
      <c r="D12"/>
      <c r="F12" s="30" t="s">
        <v>100</v>
      </c>
      <c r="G12" s="31"/>
      <c r="H12" s="10">
        <v>10000</v>
      </c>
    </row>
    <row r="14" spans="2:16" x14ac:dyDescent="0.35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2:16" ht="78" x14ac:dyDescent="0.35">
      <c r="B15" s="5" t="s">
        <v>0</v>
      </c>
      <c r="C15" s="5" t="s">
        <v>1</v>
      </c>
      <c r="D15" s="5" t="s">
        <v>2</v>
      </c>
      <c r="E15" s="5" t="s">
        <v>3</v>
      </c>
      <c r="F15" s="5" t="s">
        <v>4</v>
      </c>
      <c r="G15" s="5" t="s">
        <v>5</v>
      </c>
      <c r="H15" s="5" t="s">
        <v>6</v>
      </c>
      <c r="I15" s="5" t="s">
        <v>7</v>
      </c>
      <c r="J15" s="5" t="s">
        <v>8</v>
      </c>
      <c r="K15" s="5" t="s">
        <v>9</v>
      </c>
      <c r="L15" s="5" t="s">
        <v>10</v>
      </c>
      <c r="M15" s="5" t="s">
        <v>84</v>
      </c>
      <c r="N15" s="12" t="s">
        <v>83</v>
      </c>
      <c r="O15" s="12" t="s">
        <v>85</v>
      </c>
      <c r="P15" s="19" t="s">
        <v>86</v>
      </c>
    </row>
    <row r="16" spans="2:16" ht="25" x14ac:dyDescent="0.25">
      <c r="B16" s="6">
        <v>100000173</v>
      </c>
      <c r="C16" s="6" t="s">
        <v>12</v>
      </c>
      <c r="D16" s="6">
        <v>0.39</v>
      </c>
      <c r="E16" s="6">
        <v>80</v>
      </c>
      <c r="F16" s="6" t="s">
        <v>15</v>
      </c>
      <c r="G16" s="6">
        <v>12</v>
      </c>
      <c r="H16" s="6" t="s">
        <v>16</v>
      </c>
      <c r="I16" s="6">
        <v>416.4</v>
      </c>
      <c r="J16" s="6" t="s">
        <v>13</v>
      </c>
      <c r="K16" s="7">
        <v>26.97</v>
      </c>
      <c r="L16" s="7">
        <v>5.0199999999999996</v>
      </c>
      <c r="M16" s="8">
        <v>1924</v>
      </c>
      <c r="N16" s="9">
        <v>160</v>
      </c>
      <c r="O16" s="10">
        <f>120*80</f>
        <v>9600</v>
      </c>
      <c r="P16" s="9">
        <v>1539200</v>
      </c>
    </row>
    <row r="17" spans="2:16" ht="25" x14ac:dyDescent="0.25">
      <c r="B17" s="6">
        <v>100000172</v>
      </c>
      <c r="C17" s="6" t="s">
        <v>14</v>
      </c>
      <c r="D17" s="6">
        <v>0.39</v>
      </c>
      <c r="E17" s="6">
        <v>80</v>
      </c>
      <c r="F17" s="6" t="s">
        <v>15</v>
      </c>
      <c r="G17" s="6">
        <v>12</v>
      </c>
      <c r="H17" s="6" t="s">
        <v>16</v>
      </c>
      <c r="I17" s="6">
        <v>416.4</v>
      </c>
      <c r="J17" s="6" t="s">
        <v>17</v>
      </c>
      <c r="K17" s="7">
        <v>15.7</v>
      </c>
      <c r="L17" s="7">
        <v>2.37</v>
      </c>
      <c r="M17" s="8">
        <v>2834</v>
      </c>
      <c r="N17" s="9">
        <v>236</v>
      </c>
      <c r="O17" s="10">
        <f t="shared" ref="O17:O66" si="0">120*80</f>
        <v>9600</v>
      </c>
      <c r="P17" s="9">
        <v>2267200</v>
      </c>
    </row>
    <row r="18" spans="2:16" ht="25" x14ac:dyDescent="0.25">
      <c r="B18" s="6">
        <v>100000171</v>
      </c>
      <c r="C18" s="6" t="s">
        <v>18</v>
      </c>
      <c r="D18" s="6">
        <v>0.39</v>
      </c>
      <c r="E18" s="6">
        <v>80</v>
      </c>
      <c r="F18" s="6" t="s">
        <v>15</v>
      </c>
      <c r="G18" s="6">
        <v>12</v>
      </c>
      <c r="H18" s="6" t="s">
        <v>16</v>
      </c>
      <c r="I18" s="6">
        <v>416.4</v>
      </c>
      <c r="J18" s="6" t="s">
        <v>19</v>
      </c>
      <c r="K18" s="7">
        <v>24.9</v>
      </c>
      <c r="L18" s="7">
        <v>5.46</v>
      </c>
      <c r="M18" s="8">
        <v>1591</v>
      </c>
      <c r="N18" s="9">
        <v>133</v>
      </c>
      <c r="O18" s="10">
        <f t="shared" si="0"/>
        <v>9600</v>
      </c>
      <c r="P18" s="9">
        <v>1272800</v>
      </c>
    </row>
    <row r="19" spans="2:16" ht="25" x14ac:dyDescent="0.25">
      <c r="B19" s="6">
        <v>100000163</v>
      </c>
      <c r="C19" s="6" t="s">
        <v>20</v>
      </c>
      <c r="D19" s="6">
        <v>0.24</v>
      </c>
      <c r="E19" s="6">
        <v>80</v>
      </c>
      <c r="F19" s="6" t="s">
        <v>15</v>
      </c>
      <c r="G19" s="6">
        <v>12</v>
      </c>
      <c r="H19" s="6" t="s">
        <v>16</v>
      </c>
      <c r="I19" s="6">
        <v>272.39999999999998</v>
      </c>
      <c r="J19" s="6" t="s">
        <v>13</v>
      </c>
      <c r="K19" s="7">
        <v>24.06</v>
      </c>
      <c r="L19" s="7">
        <v>3.61</v>
      </c>
      <c r="M19" s="8">
        <v>1115</v>
      </c>
      <c r="N19" s="9">
        <v>93</v>
      </c>
      <c r="O19" s="10">
        <f t="shared" si="0"/>
        <v>9600</v>
      </c>
      <c r="P19" s="9">
        <v>892000</v>
      </c>
    </row>
    <row r="20" spans="2:16" ht="25" x14ac:dyDescent="0.25">
      <c r="B20" s="6">
        <v>100000162</v>
      </c>
      <c r="C20" s="6" t="s">
        <v>21</v>
      </c>
      <c r="D20" s="6">
        <v>0.24</v>
      </c>
      <c r="E20" s="6">
        <v>80</v>
      </c>
      <c r="F20" s="6" t="s">
        <v>15</v>
      </c>
      <c r="G20" s="6">
        <v>12</v>
      </c>
      <c r="H20" s="6" t="s">
        <v>16</v>
      </c>
      <c r="I20" s="6">
        <v>272.39999999999998</v>
      </c>
      <c r="J20" s="6" t="s">
        <v>17</v>
      </c>
      <c r="K20" s="7">
        <v>20.99</v>
      </c>
      <c r="L20" s="7">
        <v>6.18</v>
      </c>
      <c r="M20" s="6">
        <v>540</v>
      </c>
      <c r="N20" s="9">
        <v>45</v>
      </c>
      <c r="O20" s="10">
        <f t="shared" si="0"/>
        <v>9600</v>
      </c>
      <c r="P20" s="9">
        <v>432000</v>
      </c>
    </row>
    <row r="21" spans="2:16" ht="25" x14ac:dyDescent="0.25">
      <c r="B21" s="6">
        <v>100000161</v>
      </c>
      <c r="C21" s="6" t="s">
        <v>22</v>
      </c>
      <c r="D21" s="6">
        <v>0.24</v>
      </c>
      <c r="E21" s="6">
        <v>80</v>
      </c>
      <c r="F21" s="6" t="s">
        <v>15</v>
      </c>
      <c r="G21" s="6">
        <v>12</v>
      </c>
      <c r="H21" s="6" t="s">
        <v>16</v>
      </c>
      <c r="I21" s="6">
        <v>272.39999999999998</v>
      </c>
      <c r="J21" s="6" t="s">
        <v>19</v>
      </c>
      <c r="K21" s="7">
        <v>11.04</v>
      </c>
      <c r="L21" s="7">
        <v>3.98</v>
      </c>
      <c r="M21" s="6">
        <v>979</v>
      </c>
      <c r="N21" s="9">
        <v>82</v>
      </c>
      <c r="O21" s="10">
        <f t="shared" si="0"/>
        <v>9600</v>
      </c>
      <c r="P21" s="9">
        <v>783200</v>
      </c>
    </row>
    <row r="22" spans="2:16" ht="37.5" x14ac:dyDescent="0.25">
      <c r="B22" s="6">
        <v>100000153</v>
      </c>
      <c r="C22" s="6" t="s">
        <v>23</v>
      </c>
      <c r="D22" s="6">
        <v>0.22</v>
      </c>
      <c r="E22" s="6">
        <v>100</v>
      </c>
      <c r="F22" s="6" t="s">
        <v>15</v>
      </c>
      <c r="G22" s="6">
        <v>12</v>
      </c>
      <c r="H22" s="6" t="s">
        <v>16</v>
      </c>
      <c r="I22" s="6">
        <v>306</v>
      </c>
      <c r="J22" s="6" t="s">
        <v>24</v>
      </c>
      <c r="K22" s="7">
        <v>29.67</v>
      </c>
      <c r="L22" s="7">
        <v>10.94</v>
      </c>
      <c r="M22" s="6">
        <v>588</v>
      </c>
      <c r="N22" s="9">
        <v>49</v>
      </c>
      <c r="O22" s="10">
        <f t="shared" si="0"/>
        <v>9600</v>
      </c>
      <c r="P22" s="9">
        <v>470400</v>
      </c>
    </row>
    <row r="23" spans="2:16" ht="25" x14ac:dyDescent="0.25">
      <c r="B23" s="6">
        <v>100000152</v>
      </c>
      <c r="C23" s="6" t="s">
        <v>25</v>
      </c>
      <c r="D23" s="6">
        <v>0.22</v>
      </c>
      <c r="E23" s="6">
        <v>100</v>
      </c>
      <c r="F23" s="6" t="s">
        <v>15</v>
      </c>
      <c r="G23" s="6">
        <v>12</v>
      </c>
      <c r="H23" s="6" t="s">
        <v>16</v>
      </c>
      <c r="I23" s="6">
        <v>306</v>
      </c>
      <c r="J23" s="6" t="s">
        <v>26</v>
      </c>
      <c r="K23" s="7">
        <v>16.989999999999998</v>
      </c>
      <c r="L23" s="7">
        <v>3.32</v>
      </c>
      <c r="M23" s="6">
        <v>561</v>
      </c>
      <c r="N23" s="9">
        <v>47</v>
      </c>
      <c r="O23" s="10">
        <f t="shared" si="0"/>
        <v>9600</v>
      </c>
      <c r="P23" s="9">
        <v>448800</v>
      </c>
    </row>
    <row r="24" spans="2:16" ht="25" x14ac:dyDescent="0.25">
      <c r="B24" s="6">
        <v>100000151</v>
      </c>
      <c r="C24" s="6" t="s">
        <v>27</v>
      </c>
      <c r="D24" s="6">
        <v>0.22</v>
      </c>
      <c r="E24" s="6">
        <v>100</v>
      </c>
      <c r="F24" s="6" t="s">
        <v>15</v>
      </c>
      <c r="G24" s="6">
        <v>12</v>
      </c>
      <c r="H24" s="6" t="s">
        <v>16</v>
      </c>
      <c r="I24" s="6">
        <v>306</v>
      </c>
      <c r="J24" s="6" t="s">
        <v>28</v>
      </c>
      <c r="K24" s="7">
        <v>17.149999999999999</v>
      </c>
      <c r="L24" s="7">
        <v>4.71</v>
      </c>
      <c r="M24" s="6">
        <v>422</v>
      </c>
      <c r="N24" s="9">
        <v>35</v>
      </c>
      <c r="O24" s="10">
        <f t="shared" si="0"/>
        <v>9600</v>
      </c>
      <c r="P24" s="9">
        <v>337600</v>
      </c>
    </row>
    <row r="25" spans="2:16" ht="25" x14ac:dyDescent="0.25">
      <c r="B25" s="6">
        <v>100000143</v>
      </c>
      <c r="C25" s="6" t="s">
        <v>29</v>
      </c>
      <c r="D25" s="6">
        <v>0.12</v>
      </c>
      <c r="E25" s="6">
        <v>170</v>
      </c>
      <c r="F25" s="6" t="s">
        <v>15</v>
      </c>
      <c r="G25" s="6">
        <v>12</v>
      </c>
      <c r="H25" s="6" t="s">
        <v>16</v>
      </c>
      <c r="I25" s="6">
        <v>286.8</v>
      </c>
      <c r="J25" s="6" t="s">
        <v>24</v>
      </c>
      <c r="K25" s="7">
        <v>27.95</v>
      </c>
      <c r="L25" s="7">
        <v>7.84</v>
      </c>
      <c r="M25" s="8">
        <v>1211</v>
      </c>
      <c r="N25" s="9">
        <v>101</v>
      </c>
      <c r="O25" s="10">
        <f t="shared" si="0"/>
        <v>9600</v>
      </c>
      <c r="P25" s="9">
        <v>968800</v>
      </c>
    </row>
    <row r="26" spans="2:16" ht="37.5" x14ac:dyDescent="0.25">
      <c r="B26" s="6">
        <v>100000142</v>
      </c>
      <c r="C26" s="6" t="s">
        <v>30</v>
      </c>
      <c r="D26" s="6">
        <v>0.12</v>
      </c>
      <c r="E26" s="6">
        <v>170</v>
      </c>
      <c r="F26" s="6" t="s">
        <v>15</v>
      </c>
      <c r="G26" s="6">
        <v>12</v>
      </c>
      <c r="H26" s="6" t="s">
        <v>16</v>
      </c>
      <c r="I26" s="6">
        <v>286.8</v>
      </c>
      <c r="J26" s="6" t="s">
        <v>26</v>
      </c>
      <c r="K26" s="7">
        <v>26.2</v>
      </c>
      <c r="L26" s="7">
        <v>7.59</v>
      </c>
      <c r="M26" s="8">
        <v>1615</v>
      </c>
      <c r="N26" s="9">
        <v>135</v>
      </c>
      <c r="O26" s="10">
        <f t="shared" si="0"/>
        <v>9600</v>
      </c>
      <c r="P26" s="9">
        <v>1292000</v>
      </c>
    </row>
    <row r="27" spans="2:16" ht="25" x14ac:dyDescent="0.25">
      <c r="B27" s="6">
        <v>100000141</v>
      </c>
      <c r="C27" s="6" t="s">
        <v>31</v>
      </c>
      <c r="D27" s="6">
        <v>0.12</v>
      </c>
      <c r="E27" s="6">
        <v>170</v>
      </c>
      <c r="F27" s="6" t="s">
        <v>15</v>
      </c>
      <c r="G27" s="6">
        <v>12</v>
      </c>
      <c r="H27" s="6" t="s">
        <v>16</v>
      </c>
      <c r="I27" s="6">
        <v>286.8</v>
      </c>
      <c r="J27" s="6" t="s">
        <v>28</v>
      </c>
      <c r="K27" s="7">
        <v>12.4</v>
      </c>
      <c r="L27" s="7">
        <v>3.86</v>
      </c>
      <c r="M27" s="8">
        <v>1519</v>
      </c>
      <c r="N27" s="9">
        <v>127</v>
      </c>
      <c r="O27" s="10">
        <f t="shared" si="0"/>
        <v>9600</v>
      </c>
      <c r="P27" s="9">
        <v>1215200</v>
      </c>
    </row>
    <row r="28" spans="2:16" ht="37.5" x14ac:dyDescent="0.25">
      <c r="B28" s="6">
        <v>100000133</v>
      </c>
      <c r="C28" s="6" t="s">
        <v>32</v>
      </c>
      <c r="D28" s="6">
        <v>0.12</v>
      </c>
      <c r="E28" s="6">
        <v>125</v>
      </c>
      <c r="F28" s="6" t="s">
        <v>15</v>
      </c>
      <c r="G28" s="6">
        <v>12</v>
      </c>
      <c r="H28" s="6" t="s">
        <v>16</v>
      </c>
      <c r="I28" s="6">
        <v>222</v>
      </c>
      <c r="J28" s="6" t="s">
        <v>24</v>
      </c>
      <c r="K28" s="7">
        <v>29.39</v>
      </c>
      <c r="L28" s="7">
        <v>10.09</v>
      </c>
      <c r="M28" s="6">
        <v>387</v>
      </c>
      <c r="N28" s="9">
        <v>32</v>
      </c>
      <c r="O28" s="10">
        <f t="shared" si="0"/>
        <v>9600</v>
      </c>
      <c r="P28" s="9">
        <v>309600</v>
      </c>
    </row>
    <row r="29" spans="2:16" ht="25" x14ac:dyDescent="0.25">
      <c r="B29" s="6">
        <v>100000132</v>
      </c>
      <c r="C29" s="6" t="s">
        <v>33</v>
      </c>
      <c r="D29" s="6">
        <v>0.12</v>
      </c>
      <c r="E29" s="6">
        <v>125</v>
      </c>
      <c r="F29" s="6" t="s">
        <v>15</v>
      </c>
      <c r="G29" s="6">
        <v>12</v>
      </c>
      <c r="H29" s="6" t="s">
        <v>16</v>
      </c>
      <c r="I29" s="6">
        <v>222</v>
      </c>
      <c r="J29" s="6" t="s">
        <v>26</v>
      </c>
      <c r="K29" s="7">
        <v>27.7</v>
      </c>
      <c r="L29" s="7">
        <v>9.57</v>
      </c>
      <c r="M29" s="6">
        <v>375</v>
      </c>
      <c r="N29" s="9">
        <v>31</v>
      </c>
      <c r="O29" s="10">
        <f t="shared" si="0"/>
        <v>9600</v>
      </c>
      <c r="P29" s="9">
        <v>300000</v>
      </c>
    </row>
    <row r="30" spans="2:16" ht="25" x14ac:dyDescent="0.25">
      <c r="B30" s="6">
        <v>100000131</v>
      </c>
      <c r="C30" s="6" t="s">
        <v>34</v>
      </c>
      <c r="D30" s="6">
        <v>0.12</v>
      </c>
      <c r="E30" s="6">
        <v>125</v>
      </c>
      <c r="F30" s="6" t="s">
        <v>15</v>
      </c>
      <c r="G30" s="6">
        <v>12</v>
      </c>
      <c r="H30" s="6" t="s">
        <v>16</v>
      </c>
      <c r="I30" s="6">
        <v>222</v>
      </c>
      <c r="J30" s="6" t="s">
        <v>28</v>
      </c>
      <c r="K30" s="7">
        <v>18.809999999999999</v>
      </c>
      <c r="L30" s="7">
        <v>2.65</v>
      </c>
      <c r="M30" s="6">
        <v>246</v>
      </c>
      <c r="N30" s="9">
        <v>21</v>
      </c>
      <c r="O30" s="10">
        <f t="shared" si="0"/>
        <v>9600</v>
      </c>
      <c r="P30" s="9">
        <v>196800</v>
      </c>
    </row>
    <row r="31" spans="2:16" ht="25" x14ac:dyDescent="0.25">
      <c r="B31" s="6">
        <v>100000123</v>
      </c>
      <c r="C31" s="6" t="s">
        <v>35</v>
      </c>
      <c r="D31" s="6">
        <v>0.04</v>
      </c>
      <c r="E31" s="6">
        <v>420</v>
      </c>
      <c r="F31" s="6" t="s">
        <v>15</v>
      </c>
      <c r="G31" s="6">
        <v>12</v>
      </c>
      <c r="H31" s="6" t="s">
        <v>16</v>
      </c>
      <c r="I31" s="6">
        <v>243.6</v>
      </c>
      <c r="J31" s="6" t="s">
        <v>36</v>
      </c>
      <c r="K31" s="7">
        <v>21.56</v>
      </c>
      <c r="L31" s="7">
        <v>3.26</v>
      </c>
      <c r="M31" s="6">
        <v>288</v>
      </c>
      <c r="N31" s="9">
        <v>24</v>
      </c>
      <c r="O31" s="10">
        <f t="shared" si="0"/>
        <v>9600</v>
      </c>
      <c r="P31" s="9">
        <v>230400</v>
      </c>
    </row>
    <row r="32" spans="2:16" ht="25" x14ac:dyDescent="0.25">
      <c r="B32" s="6">
        <v>100000121</v>
      </c>
      <c r="C32" s="6" t="s">
        <v>37</v>
      </c>
      <c r="D32" s="6">
        <v>0.04</v>
      </c>
      <c r="E32" s="6">
        <v>420</v>
      </c>
      <c r="F32" s="6" t="s">
        <v>15</v>
      </c>
      <c r="G32" s="6">
        <v>12</v>
      </c>
      <c r="H32" s="6" t="s">
        <v>16</v>
      </c>
      <c r="I32" s="6">
        <v>243.6</v>
      </c>
      <c r="J32" s="6" t="s">
        <v>38</v>
      </c>
      <c r="K32" s="7">
        <v>15.55</v>
      </c>
      <c r="L32" s="7">
        <v>5.19</v>
      </c>
      <c r="M32" s="6" t="s">
        <v>39</v>
      </c>
      <c r="N32" s="9">
        <v>0</v>
      </c>
      <c r="O32" s="10">
        <f t="shared" si="0"/>
        <v>9600</v>
      </c>
      <c r="P32" s="9">
        <v>0</v>
      </c>
    </row>
    <row r="33" spans="2:16" ht="25" x14ac:dyDescent="0.25">
      <c r="B33" s="6">
        <v>100000122</v>
      </c>
      <c r="C33" s="6" t="s">
        <v>40</v>
      </c>
      <c r="D33" s="6">
        <v>0.04</v>
      </c>
      <c r="E33" s="6">
        <v>420</v>
      </c>
      <c r="F33" s="6" t="s">
        <v>15</v>
      </c>
      <c r="G33" s="6">
        <v>12</v>
      </c>
      <c r="H33" s="6" t="s">
        <v>16</v>
      </c>
      <c r="I33" s="6">
        <v>243.6</v>
      </c>
      <c r="J33" s="6" t="s">
        <v>38</v>
      </c>
      <c r="K33" s="7">
        <v>12.57</v>
      </c>
      <c r="L33" s="7">
        <v>3.52</v>
      </c>
      <c r="M33" s="6">
        <v>758</v>
      </c>
      <c r="N33" s="9">
        <v>63</v>
      </c>
      <c r="O33" s="10">
        <f t="shared" si="0"/>
        <v>9600</v>
      </c>
      <c r="P33" s="9">
        <v>606400</v>
      </c>
    </row>
    <row r="34" spans="2:16" ht="25" x14ac:dyDescent="0.25">
      <c r="B34" s="6">
        <v>100000113</v>
      </c>
      <c r="C34" s="6" t="s">
        <v>41</v>
      </c>
      <c r="D34" s="6">
        <v>0.05</v>
      </c>
      <c r="E34" s="6">
        <v>300</v>
      </c>
      <c r="F34" s="6" t="s">
        <v>15</v>
      </c>
      <c r="G34" s="6">
        <v>12</v>
      </c>
      <c r="H34" s="6" t="s">
        <v>16</v>
      </c>
      <c r="I34" s="6">
        <v>222</v>
      </c>
      <c r="J34" s="6" t="s">
        <v>36</v>
      </c>
      <c r="K34" s="7">
        <v>21.97</v>
      </c>
      <c r="L34" s="7">
        <v>6.31</v>
      </c>
      <c r="M34" s="8">
        <v>6411</v>
      </c>
      <c r="N34" s="9">
        <v>534</v>
      </c>
      <c r="O34" s="10">
        <f t="shared" si="0"/>
        <v>9600</v>
      </c>
      <c r="P34" s="9">
        <v>5128800</v>
      </c>
    </row>
    <row r="35" spans="2:16" ht="25" x14ac:dyDescent="0.25">
      <c r="B35" s="6">
        <v>100000112</v>
      </c>
      <c r="C35" s="6" t="s">
        <v>42</v>
      </c>
      <c r="D35" s="6">
        <v>0.05</v>
      </c>
      <c r="E35" s="6">
        <v>300</v>
      </c>
      <c r="F35" s="6" t="s">
        <v>15</v>
      </c>
      <c r="G35" s="6">
        <v>12</v>
      </c>
      <c r="H35" s="6" t="s">
        <v>16</v>
      </c>
      <c r="I35" s="6">
        <v>222</v>
      </c>
      <c r="J35" s="6" t="s">
        <v>43</v>
      </c>
      <c r="K35" s="7">
        <v>22.13</v>
      </c>
      <c r="L35" s="7">
        <v>3.64</v>
      </c>
      <c r="M35" s="8">
        <v>10168</v>
      </c>
      <c r="N35" s="9">
        <v>847</v>
      </c>
      <c r="O35" s="10">
        <f t="shared" si="0"/>
        <v>9600</v>
      </c>
      <c r="P35" s="9">
        <v>8134400</v>
      </c>
    </row>
    <row r="36" spans="2:16" ht="25" x14ac:dyDescent="0.25">
      <c r="B36" s="6">
        <v>100000111</v>
      </c>
      <c r="C36" s="6" t="s">
        <v>44</v>
      </c>
      <c r="D36" s="6">
        <v>0.05</v>
      </c>
      <c r="E36" s="6">
        <v>300</v>
      </c>
      <c r="F36" s="6" t="s">
        <v>15</v>
      </c>
      <c r="G36" s="6">
        <v>12</v>
      </c>
      <c r="H36" s="6" t="s">
        <v>16</v>
      </c>
      <c r="I36" s="6">
        <v>222</v>
      </c>
      <c r="J36" s="6" t="s">
        <v>38</v>
      </c>
      <c r="K36" s="7">
        <v>18.34</v>
      </c>
      <c r="L36" s="7">
        <v>6.67</v>
      </c>
      <c r="M36" s="8">
        <v>5638</v>
      </c>
      <c r="N36" s="9">
        <v>470</v>
      </c>
      <c r="O36" s="10">
        <f t="shared" si="0"/>
        <v>9600</v>
      </c>
      <c r="P36" s="9">
        <v>4510400</v>
      </c>
    </row>
    <row r="37" spans="2:16" ht="25" x14ac:dyDescent="0.25">
      <c r="B37" s="6">
        <v>100000103</v>
      </c>
      <c r="C37" s="6" t="s">
        <v>45</v>
      </c>
      <c r="D37" s="6">
        <v>0.18</v>
      </c>
      <c r="E37" s="6">
        <v>100</v>
      </c>
      <c r="F37" s="6" t="s">
        <v>15</v>
      </c>
      <c r="G37" s="6">
        <v>12</v>
      </c>
      <c r="H37" s="6" t="s">
        <v>16</v>
      </c>
      <c r="I37" s="6">
        <v>258</v>
      </c>
      <c r="J37" s="6" t="s">
        <v>36</v>
      </c>
      <c r="K37" s="7">
        <v>14.66</v>
      </c>
      <c r="L37" s="7">
        <v>3.54</v>
      </c>
      <c r="M37" s="8">
        <v>7957</v>
      </c>
      <c r="N37" s="9">
        <v>663</v>
      </c>
      <c r="O37" s="10">
        <f t="shared" si="0"/>
        <v>9600</v>
      </c>
      <c r="P37" s="9">
        <v>6365600</v>
      </c>
    </row>
    <row r="38" spans="2:16" ht="25" x14ac:dyDescent="0.25">
      <c r="B38" s="6">
        <v>100000102</v>
      </c>
      <c r="C38" s="6" t="s">
        <v>46</v>
      </c>
      <c r="D38" s="6">
        <v>0.18</v>
      </c>
      <c r="E38" s="6">
        <v>100</v>
      </c>
      <c r="F38" s="6" t="s">
        <v>15</v>
      </c>
      <c r="G38" s="6">
        <v>12</v>
      </c>
      <c r="H38" s="6" t="s">
        <v>16</v>
      </c>
      <c r="I38" s="6">
        <v>258</v>
      </c>
      <c r="J38" s="6" t="s">
        <v>43</v>
      </c>
      <c r="K38" s="7">
        <v>24.71</v>
      </c>
      <c r="L38" s="7">
        <v>8.2100000000000009</v>
      </c>
      <c r="M38" s="8">
        <v>5366</v>
      </c>
      <c r="N38" s="9">
        <v>447</v>
      </c>
      <c r="O38" s="10">
        <f t="shared" si="0"/>
        <v>9600</v>
      </c>
      <c r="P38" s="9">
        <v>4292800</v>
      </c>
    </row>
    <row r="39" spans="2:16" ht="25" x14ac:dyDescent="0.25">
      <c r="B39" s="6">
        <v>100000101</v>
      </c>
      <c r="C39" s="6" t="s">
        <v>47</v>
      </c>
      <c r="D39" s="6">
        <v>0.18</v>
      </c>
      <c r="E39" s="6">
        <v>100</v>
      </c>
      <c r="F39" s="6" t="s">
        <v>15</v>
      </c>
      <c r="G39" s="6">
        <v>12</v>
      </c>
      <c r="H39" s="6" t="s">
        <v>16</v>
      </c>
      <c r="I39" s="6">
        <v>258</v>
      </c>
      <c r="J39" s="6" t="s">
        <v>38</v>
      </c>
      <c r="K39" s="7">
        <v>23</v>
      </c>
      <c r="L39" s="7">
        <v>7.69</v>
      </c>
      <c r="M39" s="8">
        <v>4018</v>
      </c>
      <c r="N39" s="9">
        <v>335</v>
      </c>
      <c r="O39" s="10">
        <f t="shared" si="0"/>
        <v>9600</v>
      </c>
      <c r="P39" s="9">
        <v>3214400</v>
      </c>
    </row>
    <row r="40" spans="2:16" ht="25" x14ac:dyDescent="0.25">
      <c r="B40" s="6">
        <v>100000093</v>
      </c>
      <c r="C40" s="6" t="s">
        <v>48</v>
      </c>
      <c r="D40" s="6">
        <v>0.05</v>
      </c>
      <c r="E40" s="6">
        <v>500</v>
      </c>
      <c r="F40" s="6" t="s">
        <v>15</v>
      </c>
      <c r="G40" s="6">
        <v>12</v>
      </c>
      <c r="H40" s="6" t="s">
        <v>16</v>
      </c>
      <c r="I40" s="6">
        <v>342</v>
      </c>
      <c r="J40" s="6" t="s">
        <v>49</v>
      </c>
      <c r="K40" s="7">
        <v>11.88</v>
      </c>
      <c r="L40" s="7">
        <v>4</v>
      </c>
      <c r="M40" s="8">
        <v>10460</v>
      </c>
      <c r="N40" s="9">
        <v>872</v>
      </c>
      <c r="O40" s="10">
        <f t="shared" si="0"/>
        <v>9600</v>
      </c>
      <c r="P40" s="9">
        <v>8368000</v>
      </c>
    </row>
    <row r="41" spans="2:16" ht="25" x14ac:dyDescent="0.25">
      <c r="B41" s="6">
        <v>100000092</v>
      </c>
      <c r="C41" s="6" t="s">
        <v>50</v>
      </c>
      <c r="D41" s="6">
        <v>0.05</v>
      </c>
      <c r="E41" s="6">
        <v>500</v>
      </c>
      <c r="F41" s="6" t="s">
        <v>15</v>
      </c>
      <c r="G41" s="6">
        <v>12</v>
      </c>
      <c r="H41" s="6" t="s">
        <v>16</v>
      </c>
      <c r="I41" s="6">
        <v>342</v>
      </c>
      <c r="J41" s="6" t="s">
        <v>51</v>
      </c>
      <c r="K41" s="7">
        <v>28.57</v>
      </c>
      <c r="L41" s="7">
        <v>4.6500000000000004</v>
      </c>
      <c r="M41" s="8">
        <v>19765</v>
      </c>
      <c r="N41" s="11">
        <v>1647</v>
      </c>
      <c r="O41" s="10">
        <f t="shared" si="0"/>
        <v>9600</v>
      </c>
      <c r="P41" s="9">
        <v>15812000</v>
      </c>
    </row>
    <row r="42" spans="2:16" ht="25" x14ac:dyDescent="0.25">
      <c r="B42" s="6">
        <v>100000091</v>
      </c>
      <c r="C42" s="6" t="s">
        <v>52</v>
      </c>
      <c r="D42" s="6">
        <v>0.05</v>
      </c>
      <c r="E42" s="6">
        <v>500</v>
      </c>
      <c r="F42" s="6" t="s">
        <v>15</v>
      </c>
      <c r="G42" s="6">
        <v>12</v>
      </c>
      <c r="H42" s="6" t="s">
        <v>16</v>
      </c>
      <c r="I42" s="6">
        <v>342</v>
      </c>
      <c r="J42" s="6" t="s">
        <v>53</v>
      </c>
      <c r="K42" s="7">
        <v>19.18</v>
      </c>
      <c r="L42" s="7">
        <v>4.13</v>
      </c>
      <c r="M42" s="8">
        <v>12799</v>
      </c>
      <c r="N42" s="11">
        <v>1067</v>
      </c>
      <c r="O42" s="10">
        <f t="shared" si="0"/>
        <v>9600</v>
      </c>
      <c r="P42" s="9">
        <v>10239200</v>
      </c>
    </row>
    <row r="43" spans="2:16" ht="25" x14ac:dyDescent="0.25">
      <c r="B43" s="6">
        <v>100000083</v>
      </c>
      <c r="C43" s="6" t="s">
        <v>54</v>
      </c>
      <c r="D43" s="6">
        <v>0.19</v>
      </c>
      <c r="E43" s="6">
        <v>80</v>
      </c>
      <c r="F43" s="6" t="s">
        <v>15</v>
      </c>
      <c r="G43" s="6">
        <v>12</v>
      </c>
      <c r="H43" s="6" t="s">
        <v>16</v>
      </c>
      <c r="I43" s="6">
        <v>224.4</v>
      </c>
      <c r="J43" s="6" t="s">
        <v>49</v>
      </c>
      <c r="K43" s="7">
        <v>12.49</v>
      </c>
      <c r="L43" s="7">
        <v>4.67</v>
      </c>
      <c r="M43" s="6">
        <v>482</v>
      </c>
      <c r="N43" s="9">
        <v>40</v>
      </c>
      <c r="O43" s="10">
        <f t="shared" si="0"/>
        <v>9600</v>
      </c>
      <c r="P43" s="9">
        <v>385600</v>
      </c>
    </row>
    <row r="44" spans="2:16" ht="25" x14ac:dyDescent="0.25">
      <c r="B44" s="6">
        <v>100000082</v>
      </c>
      <c r="C44" s="6" t="s">
        <v>55</v>
      </c>
      <c r="D44" s="6">
        <v>0.19</v>
      </c>
      <c r="E44" s="6">
        <v>80</v>
      </c>
      <c r="F44" s="6" t="s">
        <v>15</v>
      </c>
      <c r="G44" s="6">
        <v>12</v>
      </c>
      <c r="H44" s="6" t="s">
        <v>16</v>
      </c>
      <c r="I44" s="6">
        <v>224.4</v>
      </c>
      <c r="J44" s="6" t="s">
        <v>51</v>
      </c>
      <c r="K44" s="7">
        <v>19.170000000000002</v>
      </c>
      <c r="L44" s="7">
        <v>6.94</v>
      </c>
      <c r="M44" s="6">
        <v>269</v>
      </c>
      <c r="N44" s="9">
        <v>22</v>
      </c>
      <c r="O44" s="10">
        <f t="shared" si="0"/>
        <v>9600</v>
      </c>
      <c r="P44" s="9">
        <v>215200</v>
      </c>
    </row>
    <row r="45" spans="2:16" ht="37.5" x14ac:dyDescent="0.25">
      <c r="B45" s="6">
        <v>100000081</v>
      </c>
      <c r="C45" s="6" t="s">
        <v>56</v>
      </c>
      <c r="D45" s="6">
        <v>0.19</v>
      </c>
      <c r="E45" s="6">
        <v>80</v>
      </c>
      <c r="F45" s="6" t="s">
        <v>15</v>
      </c>
      <c r="G45" s="6">
        <v>12</v>
      </c>
      <c r="H45" s="6" t="s">
        <v>16</v>
      </c>
      <c r="I45" s="6">
        <v>224.4</v>
      </c>
      <c r="J45" s="6" t="s">
        <v>53</v>
      </c>
      <c r="K45" s="7">
        <v>12.31</v>
      </c>
      <c r="L45" s="7">
        <v>2.94</v>
      </c>
      <c r="M45" s="6">
        <v>274</v>
      </c>
      <c r="N45" s="9">
        <v>23</v>
      </c>
      <c r="O45" s="10">
        <f t="shared" si="0"/>
        <v>9600</v>
      </c>
      <c r="P45" s="9">
        <v>219200</v>
      </c>
    </row>
    <row r="46" spans="2:16" ht="37.5" x14ac:dyDescent="0.25">
      <c r="B46" s="6">
        <v>100000073</v>
      </c>
      <c r="C46" s="6" t="s">
        <v>57</v>
      </c>
      <c r="D46" s="6">
        <v>0.05</v>
      </c>
      <c r="E46" s="6">
        <v>250</v>
      </c>
      <c r="F46" s="6" t="s">
        <v>15</v>
      </c>
      <c r="G46" s="6">
        <v>12</v>
      </c>
      <c r="H46" s="6" t="s">
        <v>16</v>
      </c>
      <c r="I46" s="6">
        <v>192</v>
      </c>
      <c r="J46" s="6" t="s">
        <v>49</v>
      </c>
      <c r="K46" s="7">
        <v>18.059999999999999</v>
      </c>
      <c r="L46" s="7">
        <v>6.31</v>
      </c>
      <c r="M46" s="6">
        <v>910</v>
      </c>
      <c r="N46" s="9">
        <v>76</v>
      </c>
      <c r="O46" s="10">
        <f t="shared" si="0"/>
        <v>9600</v>
      </c>
      <c r="P46" s="9">
        <v>728000</v>
      </c>
    </row>
    <row r="47" spans="2:16" ht="25" x14ac:dyDescent="0.25">
      <c r="B47" s="6">
        <v>100000072</v>
      </c>
      <c r="C47" s="6" t="s">
        <v>58</v>
      </c>
      <c r="D47" s="6">
        <v>0.05</v>
      </c>
      <c r="E47" s="6">
        <v>250</v>
      </c>
      <c r="F47" s="6" t="s">
        <v>15</v>
      </c>
      <c r="G47" s="6">
        <v>12</v>
      </c>
      <c r="H47" s="6" t="s">
        <v>16</v>
      </c>
      <c r="I47" s="6">
        <v>192</v>
      </c>
      <c r="J47" s="6" t="s">
        <v>51</v>
      </c>
      <c r="K47" s="7">
        <v>20.53</v>
      </c>
      <c r="L47" s="7">
        <v>4.99</v>
      </c>
      <c r="M47" s="6">
        <v>319</v>
      </c>
      <c r="N47" s="9">
        <v>27</v>
      </c>
      <c r="O47" s="10">
        <f t="shared" si="0"/>
        <v>9600</v>
      </c>
      <c r="P47" s="9">
        <v>255200</v>
      </c>
    </row>
    <row r="48" spans="2:16" ht="37.5" x14ac:dyDescent="0.25">
      <c r="B48" s="6">
        <v>100000071</v>
      </c>
      <c r="C48" s="6" t="s">
        <v>59</v>
      </c>
      <c r="D48" s="6">
        <v>0.05</v>
      </c>
      <c r="E48" s="6">
        <v>250</v>
      </c>
      <c r="F48" s="6" t="s">
        <v>15</v>
      </c>
      <c r="G48" s="6">
        <v>12</v>
      </c>
      <c r="H48" s="6" t="s">
        <v>16</v>
      </c>
      <c r="I48" s="6">
        <v>192</v>
      </c>
      <c r="J48" s="6" t="s">
        <v>53</v>
      </c>
      <c r="K48" s="7">
        <v>18.07</v>
      </c>
      <c r="L48" s="7">
        <v>6.54</v>
      </c>
      <c r="M48" s="6">
        <v>720</v>
      </c>
      <c r="N48" s="9">
        <v>60</v>
      </c>
      <c r="O48" s="10">
        <f t="shared" si="0"/>
        <v>9600</v>
      </c>
      <c r="P48" s="9">
        <v>576000</v>
      </c>
    </row>
    <row r="49" spans="2:16" ht="25" x14ac:dyDescent="0.25">
      <c r="B49" s="6">
        <v>100000063</v>
      </c>
      <c r="C49" s="6" t="s">
        <v>60</v>
      </c>
      <c r="D49" s="6">
        <v>0.15</v>
      </c>
      <c r="E49" s="6">
        <v>80</v>
      </c>
      <c r="F49" s="6" t="s">
        <v>15</v>
      </c>
      <c r="G49" s="6">
        <v>12</v>
      </c>
      <c r="H49" s="6" t="s">
        <v>16</v>
      </c>
      <c r="I49" s="6">
        <v>186</v>
      </c>
      <c r="J49" s="6" t="s">
        <v>61</v>
      </c>
      <c r="K49" s="7">
        <v>22.4</v>
      </c>
      <c r="L49" s="7">
        <v>4.59</v>
      </c>
      <c r="M49" s="6">
        <v>479</v>
      </c>
      <c r="N49" s="9">
        <v>40</v>
      </c>
      <c r="O49" s="10">
        <f t="shared" si="0"/>
        <v>9600</v>
      </c>
      <c r="P49" s="9">
        <v>383200</v>
      </c>
    </row>
    <row r="50" spans="2:16" ht="25" x14ac:dyDescent="0.25">
      <c r="B50" s="6">
        <v>100000062</v>
      </c>
      <c r="C50" s="6" t="s">
        <v>62</v>
      </c>
      <c r="D50" s="6">
        <v>0.15</v>
      </c>
      <c r="E50" s="6">
        <v>80</v>
      </c>
      <c r="F50" s="6" t="s">
        <v>15</v>
      </c>
      <c r="G50" s="6">
        <v>12</v>
      </c>
      <c r="H50" s="6" t="s">
        <v>16</v>
      </c>
      <c r="I50" s="6">
        <v>186</v>
      </c>
      <c r="J50" s="6" t="s">
        <v>63</v>
      </c>
      <c r="K50" s="7">
        <v>17.420000000000002</v>
      </c>
      <c r="L50" s="7">
        <v>3.56</v>
      </c>
      <c r="M50" s="6">
        <v>651</v>
      </c>
      <c r="N50" s="9">
        <v>54</v>
      </c>
      <c r="O50" s="10">
        <f t="shared" si="0"/>
        <v>9600</v>
      </c>
      <c r="P50" s="9">
        <v>520800</v>
      </c>
    </row>
    <row r="51" spans="2:16" ht="25" x14ac:dyDescent="0.25">
      <c r="B51" s="6">
        <v>100000061</v>
      </c>
      <c r="C51" s="6" t="s">
        <v>64</v>
      </c>
      <c r="D51" s="6">
        <v>0.15</v>
      </c>
      <c r="E51" s="6">
        <v>80</v>
      </c>
      <c r="F51" s="6" t="s">
        <v>15</v>
      </c>
      <c r="G51" s="6">
        <v>12</v>
      </c>
      <c r="H51" s="6" t="s">
        <v>16</v>
      </c>
      <c r="I51" s="6">
        <v>186</v>
      </c>
      <c r="J51" s="6" t="s">
        <v>65</v>
      </c>
      <c r="K51" s="7">
        <v>16.760000000000002</v>
      </c>
      <c r="L51" s="7">
        <v>2.68</v>
      </c>
      <c r="M51" s="6">
        <v>965</v>
      </c>
      <c r="N51" s="9">
        <v>80</v>
      </c>
      <c r="O51" s="10">
        <f t="shared" si="0"/>
        <v>9600</v>
      </c>
      <c r="P51" s="9">
        <v>772000</v>
      </c>
    </row>
    <row r="52" spans="2:16" ht="25" x14ac:dyDescent="0.25">
      <c r="B52" s="6">
        <v>100000053</v>
      </c>
      <c r="C52" s="6" t="s">
        <v>66</v>
      </c>
      <c r="D52" s="6">
        <v>0.27</v>
      </c>
      <c r="E52" s="6">
        <v>40</v>
      </c>
      <c r="F52" s="6" t="s">
        <v>15</v>
      </c>
      <c r="G52" s="6">
        <v>12</v>
      </c>
      <c r="H52" s="6" t="s">
        <v>16</v>
      </c>
      <c r="I52" s="6">
        <v>166.8</v>
      </c>
      <c r="J52" s="6" t="s">
        <v>61</v>
      </c>
      <c r="K52" s="7">
        <v>19.63</v>
      </c>
      <c r="L52" s="7">
        <v>4.7699999999999996</v>
      </c>
      <c r="M52" s="8">
        <v>1363</v>
      </c>
      <c r="N52" s="9">
        <v>114</v>
      </c>
      <c r="O52" s="10">
        <f t="shared" si="0"/>
        <v>9600</v>
      </c>
      <c r="P52" s="9">
        <v>1090400</v>
      </c>
    </row>
    <row r="53" spans="2:16" ht="25" x14ac:dyDescent="0.25">
      <c r="B53" s="6">
        <v>100000052</v>
      </c>
      <c r="C53" s="6" t="s">
        <v>67</v>
      </c>
      <c r="D53" s="6">
        <v>0.27</v>
      </c>
      <c r="E53" s="6">
        <v>40</v>
      </c>
      <c r="F53" s="6" t="s">
        <v>15</v>
      </c>
      <c r="G53" s="6">
        <v>12</v>
      </c>
      <c r="H53" s="6" t="s">
        <v>16</v>
      </c>
      <c r="I53" s="6">
        <v>166.8</v>
      </c>
      <c r="J53" s="6" t="s">
        <v>63</v>
      </c>
      <c r="K53" s="7">
        <v>12.59</v>
      </c>
      <c r="L53" s="7">
        <v>3.6</v>
      </c>
      <c r="M53" s="8">
        <v>1986</v>
      </c>
      <c r="N53" s="9">
        <v>166</v>
      </c>
      <c r="O53" s="10">
        <f t="shared" si="0"/>
        <v>9600</v>
      </c>
      <c r="P53" s="9">
        <v>1588800</v>
      </c>
    </row>
    <row r="54" spans="2:16" ht="25" x14ac:dyDescent="0.25">
      <c r="B54" s="6">
        <v>100000051</v>
      </c>
      <c r="C54" s="6" t="s">
        <v>68</v>
      </c>
      <c r="D54" s="6">
        <v>0.27</v>
      </c>
      <c r="E54" s="6">
        <v>40</v>
      </c>
      <c r="F54" s="6" t="s">
        <v>15</v>
      </c>
      <c r="G54" s="6">
        <v>12</v>
      </c>
      <c r="H54" s="6" t="s">
        <v>16</v>
      </c>
      <c r="I54" s="6">
        <v>166.8</v>
      </c>
      <c r="J54" s="6" t="s">
        <v>65</v>
      </c>
      <c r="K54" s="7">
        <v>24.35</v>
      </c>
      <c r="L54" s="7">
        <v>7.82</v>
      </c>
      <c r="M54" s="8">
        <v>1600</v>
      </c>
      <c r="N54" s="9">
        <v>133</v>
      </c>
      <c r="O54" s="10">
        <f t="shared" si="0"/>
        <v>9600</v>
      </c>
      <c r="P54" s="9">
        <v>1280000</v>
      </c>
    </row>
    <row r="55" spans="2:16" ht="25" x14ac:dyDescent="0.25">
      <c r="B55" s="6">
        <v>100000043</v>
      </c>
      <c r="C55" s="6" t="s">
        <v>25</v>
      </c>
      <c r="D55" s="6">
        <v>0.12</v>
      </c>
      <c r="E55" s="6">
        <v>175</v>
      </c>
      <c r="F55" s="6" t="s">
        <v>15</v>
      </c>
      <c r="G55" s="6">
        <v>12</v>
      </c>
      <c r="H55" s="6" t="s">
        <v>16</v>
      </c>
      <c r="I55" s="6">
        <v>294</v>
      </c>
      <c r="J55" s="6" t="s">
        <v>61</v>
      </c>
      <c r="K55" s="7">
        <v>21.25</v>
      </c>
      <c r="L55" s="7">
        <v>6.16</v>
      </c>
      <c r="M55" s="8">
        <v>1679</v>
      </c>
      <c r="N55" s="9">
        <v>140</v>
      </c>
      <c r="O55" s="10">
        <f t="shared" si="0"/>
        <v>9600</v>
      </c>
      <c r="P55" s="9">
        <v>1343200</v>
      </c>
    </row>
    <row r="56" spans="2:16" ht="50" x14ac:dyDescent="0.25">
      <c r="B56" s="6">
        <v>100000042</v>
      </c>
      <c r="C56" s="6" t="s">
        <v>69</v>
      </c>
      <c r="D56" s="6">
        <v>0.12</v>
      </c>
      <c r="E56" s="6">
        <v>175</v>
      </c>
      <c r="F56" s="6" t="s">
        <v>15</v>
      </c>
      <c r="G56" s="6">
        <v>12</v>
      </c>
      <c r="H56" s="6" t="s">
        <v>16</v>
      </c>
      <c r="I56" s="6">
        <v>294</v>
      </c>
      <c r="J56" s="6" t="s">
        <v>63</v>
      </c>
      <c r="K56" s="7">
        <v>29.42</v>
      </c>
      <c r="L56" s="7">
        <v>5.16</v>
      </c>
      <c r="M56" s="8">
        <v>1786</v>
      </c>
      <c r="N56" s="9">
        <v>149</v>
      </c>
      <c r="O56" s="10">
        <f t="shared" si="0"/>
        <v>9600</v>
      </c>
      <c r="P56" s="9">
        <v>1428800</v>
      </c>
    </row>
    <row r="57" spans="2:16" ht="25" x14ac:dyDescent="0.25">
      <c r="B57" s="6">
        <v>100000041</v>
      </c>
      <c r="C57" s="6" t="s">
        <v>70</v>
      </c>
      <c r="D57" s="6">
        <v>0.12</v>
      </c>
      <c r="E57" s="6">
        <v>175</v>
      </c>
      <c r="F57" s="6" t="s">
        <v>15</v>
      </c>
      <c r="G57" s="6">
        <v>12</v>
      </c>
      <c r="H57" s="6" t="s">
        <v>16</v>
      </c>
      <c r="I57" s="6">
        <v>294</v>
      </c>
      <c r="J57" s="6" t="s">
        <v>65</v>
      </c>
      <c r="K57" s="7">
        <v>10.71</v>
      </c>
      <c r="L57" s="7">
        <v>3.23</v>
      </c>
      <c r="M57" s="8">
        <v>2542</v>
      </c>
      <c r="N57" s="9">
        <v>212</v>
      </c>
      <c r="O57" s="10">
        <f t="shared" si="0"/>
        <v>9600</v>
      </c>
      <c r="P57" s="9">
        <v>2033600</v>
      </c>
    </row>
    <row r="58" spans="2:16" ht="25" x14ac:dyDescent="0.25">
      <c r="B58" s="6">
        <v>100000033</v>
      </c>
      <c r="C58" s="6" t="s">
        <v>71</v>
      </c>
      <c r="D58" s="6">
        <v>0.04</v>
      </c>
      <c r="E58" s="6">
        <v>200</v>
      </c>
      <c r="F58" s="6" t="s">
        <v>15</v>
      </c>
      <c r="G58" s="6">
        <v>12</v>
      </c>
      <c r="H58" s="6" t="s">
        <v>16</v>
      </c>
      <c r="I58" s="6">
        <v>138</v>
      </c>
      <c r="J58" s="6" t="s">
        <v>72</v>
      </c>
      <c r="K58" s="7">
        <v>17.45</v>
      </c>
      <c r="L58" s="7">
        <v>6.24</v>
      </c>
      <c r="M58" s="8">
        <v>4640</v>
      </c>
      <c r="N58" s="9">
        <v>387</v>
      </c>
      <c r="O58" s="10">
        <f t="shared" si="0"/>
        <v>9600</v>
      </c>
      <c r="P58" s="9">
        <v>3712000</v>
      </c>
    </row>
    <row r="59" spans="2:16" ht="25" x14ac:dyDescent="0.25">
      <c r="B59" s="6">
        <v>100000032</v>
      </c>
      <c r="C59" s="6" t="s">
        <v>73</v>
      </c>
      <c r="D59" s="6">
        <v>0.04</v>
      </c>
      <c r="E59" s="6">
        <v>200</v>
      </c>
      <c r="F59" s="6" t="s">
        <v>15</v>
      </c>
      <c r="G59" s="6">
        <v>12</v>
      </c>
      <c r="H59" s="6" t="s">
        <v>16</v>
      </c>
      <c r="I59" s="6">
        <v>138</v>
      </c>
      <c r="J59" s="6" t="s">
        <v>74</v>
      </c>
      <c r="K59" s="7">
        <v>22.81</v>
      </c>
      <c r="L59" s="7">
        <v>4.17</v>
      </c>
      <c r="M59" s="8">
        <v>6423</v>
      </c>
      <c r="N59" s="9">
        <v>535</v>
      </c>
      <c r="O59" s="10">
        <f t="shared" si="0"/>
        <v>9600</v>
      </c>
      <c r="P59" s="9">
        <v>5138400</v>
      </c>
    </row>
    <row r="60" spans="2:16" ht="25" x14ac:dyDescent="0.25">
      <c r="B60" s="6">
        <v>100000031</v>
      </c>
      <c r="C60" s="6" t="s">
        <v>75</v>
      </c>
      <c r="D60" s="6">
        <v>0.04</v>
      </c>
      <c r="E60" s="6">
        <v>200</v>
      </c>
      <c r="F60" s="6" t="s">
        <v>15</v>
      </c>
      <c r="G60" s="6">
        <v>12</v>
      </c>
      <c r="H60" s="6" t="s">
        <v>16</v>
      </c>
      <c r="I60" s="6">
        <v>138</v>
      </c>
      <c r="J60" s="6" t="s">
        <v>76</v>
      </c>
      <c r="K60" s="7">
        <v>13.79</v>
      </c>
      <c r="L60" s="7">
        <v>2.12</v>
      </c>
      <c r="M60" s="8">
        <v>9213</v>
      </c>
      <c r="N60" s="9">
        <v>768</v>
      </c>
      <c r="O60" s="10">
        <f t="shared" si="0"/>
        <v>9600</v>
      </c>
      <c r="P60" s="9">
        <v>7370400</v>
      </c>
    </row>
    <row r="61" spans="2:16" ht="37.5" x14ac:dyDescent="0.25">
      <c r="B61" s="6">
        <v>100000023</v>
      </c>
      <c r="C61" s="6" t="s">
        <v>77</v>
      </c>
      <c r="D61" s="6">
        <v>0.05</v>
      </c>
      <c r="E61" s="6">
        <v>500</v>
      </c>
      <c r="F61" s="6" t="s">
        <v>15</v>
      </c>
      <c r="G61" s="6">
        <v>12</v>
      </c>
      <c r="H61" s="6" t="s">
        <v>16</v>
      </c>
      <c r="I61" s="6">
        <v>342</v>
      </c>
      <c r="J61" s="6" t="s">
        <v>72</v>
      </c>
      <c r="K61" s="7">
        <v>18.57</v>
      </c>
      <c r="L61" s="7">
        <v>2.4300000000000002</v>
      </c>
      <c r="M61" s="8">
        <v>16596</v>
      </c>
      <c r="N61" s="11">
        <v>1383</v>
      </c>
      <c r="O61" s="10">
        <f t="shared" si="0"/>
        <v>9600</v>
      </c>
      <c r="P61" s="9">
        <v>13276800</v>
      </c>
    </row>
    <row r="62" spans="2:16" ht="37.5" x14ac:dyDescent="0.25">
      <c r="B62" s="6">
        <v>100000022</v>
      </c>
      <c r="C62" s="6" t="s">
        <v>78</v>
      </c>
      <c r="D62" s="6">
        <v>0.05</v>
      </c>
      <c r="E62" s="6">
        <v>500</v>
      </c>
      <c r="F62" s="6" t="s">
        <v>15</v>
      </c>
      <c r="G62" s="6">
        <v>12</v>
      </c>
      <c r="H62" s="6" t="s">
        <v>16</v>
      </c>
      <c r="I62" s="6">
        <v>342</v>
      </c>
      <c r="J62" s="6" t="s">
        <v>74</v>
      </c>
      <c r="K62" s="7">
        <v>26.65</v>
      </c>
      <c r="L62" s="7">
        <v>7.7</v>
      </c>
      <c r="M62" s="8">
        <v>11493</v>
      </c>
      <c r="N62" s="9">
        <v>958</v>
      </c>
      <c r="O62" s="10">
        <f t="shared" si="0"/>
        <v>9600</v>
      </c>
      <c r="P62" s="9">
        <v>9194400</v>
      </c>
    </row>
    <row r="63" spans="2:16" ht="37.5" x14ac:dyDescent="0.25">
      <c r="B63" s="6">
        <v>100000021</v>
      </c>
      <c r="C63" s="6" t="s">
        <v>79</v>
      </c>
      <c r="D63" s="6">
        <v>0.05</v>
      </c>
      <c r="E63" s="6">
        <v>500</v>
      </c>
      <c r="F63" s="6" t="s">
        <v>15</v>
      </c>
      <c r="G63" s="6">
        <v>12</v>
      </c>
      <c r="H63" s="6" t="s">
        <v>16</v>
      </c>
      <c r="I63" s="6">
        <v>342</v>
      </c>
      <c r="J63" s="6" t="s">
        <v>76</v>
      </c>
      <c r="K63" s="7">
        <v>24.6</v>
      </c>
      <c r="L63" s="7">
        <v>3.33</v>
      </c>
      <c r="M63" s="8">
        <v>10752</v>
      </c>
      <c r="N63" s="9">
        <v>896</v>
      </c>
      <c r="O63" s="10">
        <f t="shared" si="0"/>
        <v>9600</v>
      </c>
      <c r="P63" s="9">
        <v>8601600</v>
      </c>
    </row>
    <row r="64" spans="2:16" ht="25" x14ac:dyDescent="0.25">
      <c r="B64" s="6">
        <v>100000013</v>
      </c>
      <c r="C64" s="6" t="s">
        <v>80</v>
      </c>
      <c r="D64" s="6">
        <v>0.12</v>
      </c>
      <c r="E64" s="6">
        <v>120</v>
      </c>
      <c r="F64" s="6" t="s">
        <v>15</v>
      </c>
      <c r="G64" s="6">
        <v>12</v>
      </c>
      <c r="H64" s="6" t="s">
        <v>16</v>
      </c>
      <c r="I64" s="6">
        <v>214.8</v>
      </c>
      <c r="J64" s="6" t="s">
        <v>72</v>
      </c>
      <c r="K64" s="7">
        <v>21.03</v>
      </c>
      <c r="L64" s="7">
        <v>6.35</v>
      </c>
      <c r="M64" s="8">
        <v>2700</v>
      </c>
      <c r="N64" s="9">
        <v>225</v>
      </c>
      <c r="O64" s="10">
        <f t="shared" si="0"/>
        <v>9600</v>
      </c>
      <c r="P64" s="9">
        <v>2160000</v>
      </c>
    </row>
    <row r="65" spans="2:16" ht="25" x14ac:dyDescent="0.25">
      <c r="B65" s="6">
        <v>100000012</v>
      </c>
      <c r="C65" s="6" t="s">
        <v>81</v>
      </c>
      <c r="D65" s="6">
        <v>0.12</v>
      </c>
      <c r="E65" s="6">
        <v>120</v>
      </c>
      <c r="F65" s="6" t="s">
        <v>15</v>
      </c>
      <c r="G65" s="6">
        <v>12</v>
      </c>
      <c r="H65" s="6" t="s">
        <v>16</v>
      </c>
      <c r="I65" s="6">
        <v>214.8</v>
      </c>
      <c r="J65" s="6" t="s">
        <v>74</v>
      </c>
      <c r="K65" s="7">
        <v>16.149999999999999</v>
      </c>
      <c r="L65" s="7">
        <v>2.62</v>
      </c>
      <c r="M65" s="8">
        <v>2603</v>
      </c>
      <c r="N65" s="9">
        <v>217</v>
      </c>
      <c r="O65" s="10">
        <f t="shared" si="0"/>
        <v>9600</v>
      </c>
      <c r="P65" s="9">
        <v>2082400</v>
      </c>
    </row>
    <row r="66" spans="2:16" ht="25" x14ac:dyDescent="0.25">
      <c r="B66" s="6">
        <v>100000011</v>
      </c>
      <c r="C66" s="6" t="s">
        <v>82</v>
      </c>
      <c r="D66" s="6">
        <v>0.12</v>
      </c>
      <c r="E66" s="6">
        <v>120</v>
      </c>
      <c r="F66" s="6" t="s">
        <v>15</v>
      </c>
      <c r="G66" s="6">
        <v>12</v>
      </c>
      <c r="H66" s="6" t="s">
        <v>16</v>
      </c>
      <c r="I66" s="6">
        <v>214.8</v>
      </c>
      <c r="J66" s="6" t="s">
        <v>76</v>
      </c>
      <c r="K66" s="7">
        <v>15.67</v>
      </c>
      <c r="L66" s="7">
        <v>3.68</v>
      </c>
      <c r="M66" s="8">
        <v>3331</v>
      </c>
      <c r="N66" s="9">
        <v>278</v>
      </c>
      <c r="O66" s="10">
        <f t="shared" si="0"/>
        <v>9600</v>
      </c>
      <c r="P66" s="9">
        <v>2664800</v>
      </c>
    </row>
    <row r="67" spans="2:16" ht="15" thickBot="1" x14ac:dyDescent="0.4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4"/>
      <c r="P67" s="10">
        <f>SUM(P16:P66)</f>
        <v>146648800</v>
      </c>
    </row>
    <row r="68" spans="2:16" ht="15" thickBot="1" x14ac:dyDescent="0.4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</sheetData>
  <mergeCells count="3">
    <mergeCell ref="E3:E6"/>
    <mergeCell ref="E8:E11"/>
    <mergeCell ref="F12:G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F538F-416F-4994-9A57-95C3F7C9EDCE}">
  <dimension ref="B2:B20"/>
  <sheetViews>
    <sheetView workbookViewId="0">
      <selection activeCell="D14" sqref="D14"/>
    </sheetView>
  </sheetViews>
  <sheetFormatPr defaultRowHeight="14.5" x14ac:dyDescent="0.35"/>
  <cols>
    <col min="2" max="2" width="86.6328125" bestFit="1" customWidth="1"/>
  </cols>
  <sheetData>
    <row r="2" spans="2:2" x14ac:dyDescent="0.35">
      <c r="B2" t="s">
        <v>144</v>
      </c>
    </row>
    <row r="3" spans="2:2" x14ac:dyDescent="0.35">
      <c r="B3" s="24" t="s">
        <v>127</v>
      </c>
    </row>
    <row r="4" spans="2:2" x14ac:dyDescent="0.35">
      <c r="B4" s="24" t="s">
        <v>128</v>
      </c>
    </row>
    <row r="5" spans="2:2" x14ac:dyDescent="0.35">
      <c r="B5" s="24" t="s">
        <v>129</v>
      </c>
    </row>
    <row r="6" spans="2:2" x14ac:dyDescent="0.35">
      <c r="B6" s="24" t="s">
        <v>130</v>
      </c>
    </row>
    <row r="7" spans="2:2" x14ac:dyDescent="0.35">
      <c r="B7" s="24" t="s">
        <v>131</v>
      </c>
    </row>
    <row r="8" spans="2:2" x14ac:dyDescent="0.35">
      <c r="B8" s="24" t="s">
        <v>132</v>
      </c>
    </row>
    <row r="9" spans="2:2" x14ac:dyDescent="0.35">
      <c r="B9" s="24" t="s">
        <v>133</v>
      </c>
    </row>
    <row r="10" spans="2:2" x14ac:dyDescent="0.35">
      <c r="B10" s="24" t="s">
        <v>134</v>
      </c>
    </row>
    <row r="11" spans="2:2" x14ac:dyDescent="0.35">
      <c r="B11" s="25" t="s">
        <v>135</v>
      </c>
    </row>
    <row r="13" spans="2:2" x14ac:dyDescent="0.35">
      <c r="B13" s="24" t="s">
        <v>136</v>
      </c>
    </row>
    <row r="14" spans="2:2" x14ac:dyDescent="0.35">
      <c r="B14" s="24" t="s">
        <v>137</v>
      </c>
    </row>
    <row r="15" spans="2:2" x14ac:dyDescent="0.35">
      <c r="B15" s="24" t="s">
        <v>138</v>
      </c>
    </row>
    <row r="16" spans="2:2" x14ac:dyDescent="0.35">
      <c r="B16" s="24" t="s">
        <v>139</v>
      </c>
    </row>
    <row r="17" spans="2:2" x14ac:dyDescent="0.35">
      <c r="B17" s="24" t="s">
        <v>140</v>
      </c>
    </row>
    <row r="18" spans="2:2" x14ac:dyDescent="0.35">
      <c r="B18" s="24" t="s">
        <v>141</v>
      </c>
    </row>
    <row r="19" spans="2:2" x14ac:dyDescent="0.35">
      <c r="B19" s="24" t="s">
        <v>142</v>
      </c>
    </row>
    <row r="20" spans="2:2" x14ac:dyDescent="0.35">
      <c r="B20" s="24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29105-2546-48B2-ABBA-E5720BA40B2F}">
  <dimension ref="B2:C24"/>
  <sheetViews>
    <sheetView workbookViewId="0">
      <selection activeCell="B31" sqref="B31"/>
    </sheetView>
  </sheetViews>
  <sheetFormatPr defaultRowHeight="14.5" x14ac:dyDescent="0.35"/>
  <cols>
    <col min="2" max="2" width="75.26953125" bestFit="1" customWidth="1"/>
    <col min="3" max="3" width="59" bestFit="1" customWidth="1"/>
  </cols>
  <sheetData>
    <row r="2" spans="2:3" x14ac:dyDescent="0.35">
      <c r="B2" t="s">
        <v>105</v>
      </c>
    </row>
    <row r="3" spans="2:3" ht="15.5" x14ac:dyDescent="0.35">
      <c r="B3" s="21" t="s">
        <v>106</v>
      </c>
      <c r="C3" s="22" t="s">
        <v>107</v>
      </c>
    </row>
    <row r="4" spans="2:3" ht="15.5" x14ac:dyDescent="0.35">
      <c r="B4" s="21" t="s">
        <v>108</v>
      </c>
    </row>
    <row r="6" spans="2:3" ht="15.5" x14ac:dyDescent="0.35">
      <c r="B6" s="21" t="s">
        <v>109</v>
      </c>
    </row>
    <row r="7" spans="2:3" ht="15.5" x14ac:dyDescent="0.35">
      <c r="B7" s="21" t="s">
        <v>110</v>
      </c>
    </row>
    <row r="8" spans="2:3" ht="15.5" x14ac:dyDescent="0.35">
      <c r="B8" s="21"/>
    </row>
    <row r="9" spans="2:3" x14ac:dyDescent="0.35">
      <c r="B9" s="20" t="s">
        <v>114</v>
      </c>
      <c r="C9" s="22"/>
    </row>
    <row r="10" spans="2:3" x14ac:dyDescent="0.35">
      <c r="B10" s="20" t="s">
        <v>112</v>
      </c>
      <c r="C10" s="22" t="s">
        <v>111</v>
      </c>
    </row>
    <row r="11" spans="2:3" x14ac:dyDescent="0.35">
      <c r="B11" t="s">
        <v>113</v>
      </c>
      <c r="C11" s="22"/>
    </row>
    <row r="12" spans="2:3" x14ac:dyDescent="0.35">
      <c r="B12" t="s">
        <v>115</v>
      </c>
      <c r="C12" s="22"/>
    </row>
    <row r="13" spans="2:3" x14ac:dyDescent="0.35">
      <c r="C13" s="22"/>
    </row>
    <row r="14" spans="2:3" x14ac:dyDescent="0.35">
      <c r="B14" t="s">
        <v>126</v>
      </c>
      <c r="C14" s="22"/>
    </row>
    <row r="15" spans="2:3" x14ac:dyDescent="0.35">
      <c r="C15" s="22"/>
    </row>
    <row r="16" spans="2:3" x14ac:dyDescent="0.35">
      <c r="B16" s="20" t="s">
        <v>116</v>
      </c>
      <c r="C16" s="22"/>
    </row>
    <row r="17" spans="2:3" ht="15.5" x14ac:dyDescent="0.35">
      <c r="B17" s="21" t="s">
        <v>118</v>
      </c>
      <c r="C17" s="22"/>
    </row>
    <row r="18" spans="2:3" ht="15.5" x14ac:dyDescent="0.35">
      <c r="B18" s="21" t="s">
        <v>117</v>
      </c>
      <c r="C18" s="22"/>
    </row>
    <row r="19" spans="2:3" ht="15.5" x14ac:dyDescent="0.35">
      <c r="B19" s="21" t="s">
        <v>120</v>
      </c>
      <c r="C19" s="22" t="s">
        <v>119</v>
      </c>
    </row>
    <row r="21" spans="2:3" ht="15.5" x14ac:dyDescent="0.35">
      <c r="B21" s="21" t="s">
        <v>121</v>
      </c>
    </row>
    <row r="22" spans="2:3" ht="15.5" x14ac:dyDescent="0.35">
      <c r="B22" s="23" t="s">
        <v>122</v>
      </c>
    </row>
    <row r="23" spans="2:3" ht="15.5" x14ac:dyDescent="0.35">
      <c r="B23" s="23" t="s">
        <v>123</v>
      </c>
    </row>
    <row r="24" spans="2:3" ht="15.5" x14ac:dyDescent="0.35">
      <c r="B24" s="23" t="s">
        <v>125</v>
      </c>
      <c r="C24" s="22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9519-BAFC-4628-BFDB-760C4A6598E0}">
  <dimension ref="A1:F16"/>
  <sheetViews>
    <sheetView workbookViewId="0">
      <selection activeCell="F31" sqref="F31"/>
    </sheetView>
  </sheetViews>
  <sheetFormatPr defaultColWidth="12.6328125" defaultRowHeight="15.75" customHeight="1" x14ac:dyDescent="0.35"/>
  <cols>
    <col min="3" max="3" width="17.08984375" bestFit="1" customWidth="1"/>
    <col min="4" max="4" width="13.08984375" bestFit="1" customWidth="1"/>
    <col min="5" max="5" width="17.90625" bestFit="1" customWidth="1"/>
    <col min="6" max="6" width="13.7265625" customWidth="1"/>
  </cols>
  <sheetData>
    <row r="1" spans="1:6" ht="14.5" x14ac:dyDescent="0.35">
      <c r="A1" s="32"/>
      <c r="C1" s="33" t="s">
        <v>145</v>
      </c>
    </row>
    <row r="4" spans="1:6" ht="14.5" x14ac:dyDescent="0.35">
      <c r="B4" s="34" t="s">
        <v>146</v>
      </c>
      <c r="C4" s="34" t="s">
        <v>147</v>
      </c>
      <c r="D4" s="34" t="s">
        <v>148</v>
      </c>
      <c r="E4" s="34" t="s">
        <v>149</v>
      </c>
      <c r="F4" s="34" t="s">
        <v>150</v>
      </c>
    </row>
    <row r="5" spans="1:6" ht="14.5" x14ac:dyDescent="0.35">
      <c r="B5" s="35" t="s">
        <v>151</v>
      </c>
      <c r="C5" s="36">
        <v>249783.228</v>
      </c>
      <c r="D5" s="36">
        <v>168</v>
      </c>
      <c r="E5" s="36">
        <v>89957</v>
      </c>
      <c r="F5" s="36">
        <v>558</v>
      </c>
    </row>
    <row r="6" spans="1:6" ht="14.5" x14ac:dyDescent="0.35">
      <c r="B6" s="35" t="s">
        <v>152</v>
      </c>
      <c r="C6" s="36">
        <v>326202</v>
      </c>
      <c r="D6" s="36">
        <v>232</v>
      </c>
      <c r="E6" s="36">
        <v>103908</v>
      </c>
      <c r="F6" s="36">
        <v>600</v>
      </c>
    </row>
    <row r="7" spans="1:6" ht="14.5" x14ac:dyDescent="0.35">
      <c r="B7" s="35" t="s">
        <v>153</v>
      </c>
      <c r="C7" s="36">
        <v>249326.12400000001</v>
      </c>
      <c r="D7" s="36">
        <v>164</v>
      </c>
      <c r="E7" s="36">
        <v>94758</v>
      </c>
      <c r="F7" s="36">
        <v>520</v>
      </c>
    </row>
    <row r="8" spans="1:6" ht="14.5" x14ac:dyDescent="0.35">
      <c r="B8" s="35" t="s">
        <v>154</v>
      </c>
      <c r="C8" s="36">
        <v>389431.40399999998</v>
      </c>
      <c r="D8" s="36">
        <v>212</v>
      </c>
      <c r="E8" s="36">
        <v>59571</v>
      </c>
      <c r="F8" s="36">
        <v>388</v>
      </c>
    </row>
    <row r="9" spans="1:6" ht="14.5" x14ac:dyDescent="0.35">
      <c r="B9" s="35" t="s">
        <v>155</v>
      </c>
      <c r="C9" s="36">
        <v>286231.16399999999</v>
      </c>
      <c r="D9" s="36">
        <v>180</v>
      </c>
      <c r="E9" s="36">
        <v>106914</v>
      </c>
      <c r="F9" s="36">
        <v>612</v>
      </c>
    </row>
    <row r="10" spans="1:6" ht="14.5" x14ac:dyDescent="0.35">
      <c r="B10" s="35" t="s">
        <v>156</v>
      </c>
      <c r="C10" s="36">
        <v>188858.43599999999</v>
      </c>
      <c r="D10" s="36">
        <v>136</v>
      </c>
      <c r="E10" s="36">
        <v>51301</v>
      </c>
      <c r="F10" s="36">
        <v>196</v>
      </c>
    </row>
    <row r="11" spans="1:6" ht="14.5" x14ac:dyDescent="0.35">
      <c r="B11" s="35" t="s">
        <v>157</v>
      </c>
      <c r="C11" s="36">
        <v>388988.92800000001</v>
      </c>
      <c r="D11" s="36">
        <v>268</v>
      </c>
      <c r="E11" s="36">
        <v>110912</v>
      </c>
      <c r="F11" s="36">
        <v>738</v>
      </c>
    </row>
    <row r="12" spans="1:6" ht="14.5" x14ac:dyDescent="0.35">
      <c r="B12" s="35" t="s">
        <v>158</v>
      </c>
      <c r="C12" s="36">
        <v>250098.432</v>
      </c>
      <c r="D12" s="36">
        <v>172</v>
      </c>
      <c r="E12" s="36">
        <v>88048</v>
      </c>
      <c r="F12" s="36">
        <v>440</v>
      </c>
    </row>
    <row r="13" spans="1:6" ht="14.5" x14ac:dyDescent="0.35">
      <c r="B13" s="35" t="s">
        <v>159</v>
      </c>
      <c r="C13" s="36">
        <v>209582.76</v>
      </c>
      <c r="D13" s="36">
        <v>132</v>
      </c>
      <c r="E13" s="36">
        <v>112344</v>
      </c>
      <c r="F13" s="36">
        <v>763</v>
      </c>
    </row>
    <row r="14" spans="1:6" ht="14.5" x14ac:dyDescent="0.35">
      <c r="B14" s="35" t="s">
        <v>160</v>
      </c>
      <c r="C14" s="36">
        <v>321423.04800000001</v>
      </c>
      <c r="D14" s="36">
        <v>240</v>
      </c>
      <c r="E14" s="36">
        <v>117412</v>
      </c>
      <c r="F14" s="36">
        <v>687</v>
      </c>
    </row>
    <row r="15" spans="1:6" ht="14.5" x14ac:dyDescent="0.35">
      <c r="B15" s="35" t="s">
        <v>161</v>
      </c>
      <c r="C15" s="36">
        <v>228121.2</v>
      </c>
      <c r="D15" s="36">
        <v>148</v>
      </c>
      <c r="E15" s="36">
        <v>61206</v>
      </c>
      <c r="F15" s="36">
        <v>413</v>
      </c>
    </row>
    <row r="16" spans="1:6" ht="14.5" x14ac:dyDescent="0.35">
      <c r="B16" s="35" t="s">
        <v>162</v>
      </c>
      <c r="C16" s="36">
        <v>327881.29200000002</v>
      </c>
      <c r="D16" s="36">
        <v>244</v>
      </c>
      <c r="E16" s="36">
        <v>61632</v>
      </c>
      <c r="F16" s="36">
        <v>420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Area for warehouse</vt:lpstr>
      <vt:lpstr>Warehouse relocation </vt:lpstr>
      <vt:lpstr>Warehouse Lighting</vt:lpstr>
      <vt:lpstr>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 dcosta</dc:creator>
  <cp:lastModifiedBy>jayesh dcosta</cp:lastModifiedBy>
  <dcterms:created xsi:type="dcterms:W3CDTF">2024-05-04T18:19:08Z</dcterms:created>
  <dcterms:modified xsi:type="dcterms:W3CDTF">2026-03-30T20:13:57Z</dcterms:modified>
</cp:coreProperties>
</file>